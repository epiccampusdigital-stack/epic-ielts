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" sheetId="2" state="visible" r:id="rId4"/>
    <sheet name="Spending" sheetId="3" state="visible" r:id="rId5"/>
    <sheet name="Calendar" sheetId="4" state="visible" r:id="rId6"/>
    <sheet name="Grid" sheetId="5" state="visible" r:id="rId7"/>
    <sheet name="Days" sheetId="6" state="visible" r:id="rId8"/>
    <sheet name="English Teacher 1" sheetId="7" state="visible" r:id="rId9"/>
    <sheet name="English Teacher 2" sheetId="8" state="visible" r:id="rId10"/>
    <sheet name="English Teacher 3" sheetId="9" state="visible" r:id="rId11"/>
    <sheet name="English Teacher 4 TBC" sheetId="10" state="visible" r:id="rId12"/>
    <sheet name="Korean Teacher 1" sheetId="11" state="visible" r:id="rId13"/>
    <sheet name="Korean Teacher 2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<sst xmlns="http://schemas.openxmlformats.org/spreadsheetml/2006/main" count="1849" uniqueCount="617">
  <si>
    <t xml:space="preserve">Korea Scholarship Program: 30-Day Calendar</t>
  </si>
  <si>
    <t xml:space="preserve">Day 1 Fri 30 Oct 2026 to Day 30 Sat 28 Nov 2026 · two sessions a day: morning (8:30 to 11:30, or 9:00 to 12:00 on Anna days) and afternoon 1:00 to 4:30 · 11 students · Epic Campus</t>
  </si>
  <si>
    <t xml:space="preserve">Plan of 29 Oct: English Teacher 1 (Anna) teaches English 9:00 to 12:00 on Wed, Thu and Sat (12 days from 4 Nov), with Korean those afternoons. Other days: Korean mornings, English afternoons with Teacher 3. Week 1 (Days 1, 4, 5) is the grammar foundation with Teacher 2. Korean follows the 24 EStudykorea lessons and the 4 Korean workbooks. Budget and spending are on the Budget tab.</t>
  </si>
  <si>
    <t xml:space="preserve">Teaching hours by language</t>
  </si>
  <si>
    <t xml:space="preserve">Language</t>
  </si>
  <si>
    <t xml:space="preserve">Hours</t>
  </si>
  <si>
    <t xml:space="preserve">Share</t>
  </si>
  <si>
    <t xml:space="preserve">English</t>
  </si>
  <si>
    <t xml:space="preserve">Korean</t>
  </si>
  <si>
    <t xml:space="preserve">Hours by teacher</t>
  </si>
  <si>
    <t xml:space="preserve">Teacher</t>
  </si>
  <si>
    <t xml:space="preserve">Focus</t>
  </si>
  <si>
    <t xml:space="preserve">Confirmed</t>
  </si>
  <si>
    <t xml:space="preserve">Sessions</t>
  </si>
  <si>
    <t xml:space="preserve">Total hours</t>
  </si>
  <si>
    <t xml:space="preserve">Avg hours / day</t>
  </si>
  <si>
    <t xml:space="preserve">English Teacher 1</t>
  </si>
  <si>
    <t xml:space="preserve">Anna. Wed, Thu &amp; Sat 9:00 to 12:00: grammar &amp; writing, speaking, mid and final tests, final presentations (12 days)</t>
  </si>
  <si>
    <t xml:space="preserve">Yes</t>
  </si>
  <si>
    <t xml:space="preserve">English Teacher 2</t>
  </si>
  <si>
    <t xml:space="preserve">Week 1 grammar foundation + all mock interviews. Free Mon morning, Tue all day, Wed &amp; Thu daytime. Not Saturdays, no evenings</t>
  </si>
  <si>
    <t xml:space="preserve">English Teacher 3</t>
  </si>
  <si>
    <t xml:space="preserve">English afternoons 1:00 to 4:30: reading, vocabulary, listening &amp; IT lab</t>
  </si>
  <si>
    <t xml:space="preserve">English Teacher 4 (TBC)</t>
  </si>
  <si>
    <t xml:space="preserve">Cover teacher if someone cannot come</t>
  </si>
  <si>
    <t xml:space="preserve">To be confirmed</t>
  </si>
  <si>
    <t xml:space="preserve">Korean Teacher 1</t>
  </si>
  <si>
    <t xml:space="preserve">Korean mornings (staff)</t>
  </si>
  <si>
    <t xml:space="preserve">Korean Teacher 2</t>
  </si>
  <si>
    <t xml:space="preserve">Korean afternoons &amp; Korean IT lab (staff)</t>
  </si>
  <si>
    <t xml:space="preserve">Colour key</t>
  </si>
  <si>
    <t xml:space="preserve">English class</t>
  </si>
  <si>
    <t xml:space="preserve">Korean class</t>
  </si>
  <si>
    <t xml:space="preserve">IT lab</t>
  </si>
  <si>
    <t xml:space="preserve">Activity</t>
  </si>
  <si>
    <t xml:space="preserve">Test / interview</t>
  </si>
  <si>
    <t xml:space="preserve">Break</t>
  </si>
  <si>
    <t xml:space="preserve">Admin</t>
  </si>
  <si>
    <t xml:space="preserve">How to use</t>
  </si>
  <si>
    <t xml:space="preserve">• Calendar: every session, one row each. Filter by date, teacher or subject.</t>
  </si>
  <si>
    <t xml:space="preserve">• Grid: the whole program at a glance, one column per day. Good for printing.</t>
  </si>
  <si>
    <t xml:space="preserve">• Days: the theme and focus for each day, plus the IT lab task.</t>
  </si>
  <si>
    <t xml:space="preserve">• One tab per teacher with only their sessions.</t>
  </si>
  <si>
    <t xml:space="preserve">• To change a teacher, edit the Teacher column on Calendar; totals here update. The live version of this plan is the tracker on epicielts.live.</t>
  </si>
  <si>
    <t xml:space="preserve">Budget: Korea Scholarship Batch 1</t>
  </si>
  <si>
    <t xml:space="preserve">All amounts in LKR. Blue numbers are inputs you can change; black cells are formulas. Yellow cells still need a number. Record every payment on the Spending tab.</t>
  </si>
  <si>
    <t xml:space="preserve">1. Income</t>
  </si>
  <si>
    <t xml:space="preserve">Item</t>
  </si>
  <si>
    <t xml:space="preserve">Amount</t>
  </si>
  <si>
    <t xml:space="preserve">Note</t>
  </si>
  <si>
    <t xml:space="preserve">Students</t>
  </si>
  <si>
    <t xml:space="preserve">From Ishara, 28 Oct 2026: one more student added (was 10)</t>
  </si>
  <si>
    <t xml:space="preserve">Course fee per student</t>
  </si>
  <si>
    <t xml:space="preserve">From Ishara, 26 Oct 2026</t>
  </si>
  <si>
    <t xml:space="preserve">Total course fees</t>
  </si>
  <si>
    <t xml:space="preserve">Campus share per student</t>
  </si>
  <si>
    <t xml:space="preserve">From Ishara: LKR 25,000 per student goes to the campus</t>
  </si>
  <si>
    <t xml:space="preserve">Campus share total</t>
  </si>
  <si>
    <t xml:space="preserve">Left to budget</t>
  </si>
  <si>
    <t xml:space="preserve">The percentages below are applied to this amount</t>
  </si>
  <si>
    <t xml:space="preserve">2. Where the money goes</t>
  </si>
  <si>
    <t xml:space="preserve">Line</t>
  </si>
  <si>
    <t xml:space="preserve">% of budget</t>
  </si>
  <si>
    <t xml:space="preserve">Planned (LKR)</t>
  </si>
  <si>
    <t xml:space="preserve">Your figure (LKR)</t>
  </si>
  <si>
    <t xml:space="preserve">Spent so far (LKR)</t>
  </si>
  <si>
    <t xml:space="preserve">Left (LKR)</t>
  </si>
  <si>
    <t xml:space="preserve">Status</t>
  </si>
  <si>
    <t xml:space="preserve">Campus</t>
  </si>
  <si>
    <t xml:space="preserve">Percentages and amounts as given by Ishara, 26 Oct 2026</t>
  </si>
  <si>
    <t xml:space="preserve">Staff</t>
  </si>
  <si>
    <t xml:space="preserve">System</t>
  </si>
  <si>
    <t xml:space="preserve">Web</t>
  </si>
  <si>
    <t xml:space="preserve">Miscellaneous (transport and other)</t>
  </si>
  <si>
    <t xml:space="preserve">Accommodation and food</t>
  </si>
  <si>
    <t xml:space="preserve">Total</t>
  </si>
  <si>
    <t xml:space="preserve">Check against the money left to budget</t>
  </si>
  <si>
    <t xml:space="preserve">Money left after your figures (negative = over budget)</t>
  </si>
  <si>
    <t xml:space="preserve">Your six lines total more than the money left after the campus share. Lower the % or amounts (blue) until this is zero or positive.</t>
  </si>
  <si>
    <t xml:space="preserve">3. Staff costs (inside the Staff line)</t>
  </si>
  <si>
    <t xml:space="preserve">Pay basis</t>
  </si>
  <si>
    <t xml:space="preserve">Rate (LKR)</t>
  </si>
  <si>
    <t xml:space="preserve">Units</t>
  </si>
  <si>
    <t xml:space="preserve">Cost (LKR)</t>
  </si>
  <si>
    <t xml:space="preserve">Hours in the plan</t>
  </si>
  <si>
    <t xml:space="preserve">Sessions (half days)</t>
  </si>
  <si>
    <t xml:space="preserve">Per session</t>
  </si>
  <si>
    <t xml:space="preserve">Agreed</t>
  </si>
  <si>
    <t xml:space="preserve">Anna. Wed, Thu &amp; Sat 9:00 to 12:00. LKR 1,800 an hour x 3 hours = 5,400 a session. 12 sessions = 64,800</t>
  </si>
  <si>
    <t xml:space="preserve">Transport: English Teacher 1</t>
  </si>
  <si>
    <t xml:space="preserve">Anna transport, LKR 2,600 a day x 12 days = 31,200</t>
  </si>
  <si>
    <t xml:space="preserve">Suggested</t>
  </si>
  <si>
    <t xml:space="preserve">Week 1 grammar + all mock interviews. Mix of 3 h and 3.5 h sessions. Suggested LKR 6,000 a session. Change when agreed</t>
  </si>
  <si>
    <t xml:space="preserve">Per month</t>
  </si>
  <si>
    <t xml:space="preserve">From Ishara: LKR 55,000 per month, confirmed. English afternoons 1:00 to 4:30 (3.5 h)</t>
  </si>
  <si>
    <t xml:space="preserve">Cover only</t>
  </si>
  <si>
    <t xml:space="preserve">Only paid if they cover a session. Enter sessions covered in column I</t>
  </si>
  <si>
    <t xml:space="preserve">Staff (no extra cost)</t>
  </si>
  <si>
    <t xml:space="preserve">Campus staff</t>
  </si>
  <si>
    <t xml:space="preserve">Total staff cost</t>
  </si>
  <si>
    <t xml:space="preserve">Left in the Staff line</t>
  </si>
  <si>
    <t xml:space="preserve">Programme length in months (for monthly pay)</t>
  </si>
  <si>
    <t xml:space="preserve">30 teaching days = 1 month</t>
  </si>
  <si>
    <t xml:space="preserve">4. Per student</t>
  </si>
  <si>
    <t xml:space="preserve">Amount (LKR)</t>
  </si>
  <si>
    <t xml:space="preserve">Food and accommodation per student per day</t>
  </si>
  <si>
    <t xml:space="preserve">Food and accommodation per student, whole programme</t>
  </si>
  <si>
    <t xml:space="preserve">Teaching cost per student (planned staff cost)</t>
  </si>
  <si>
    <t xml:space="preserve">Total budget per student (your figures + campus share)</t>
  </si>
  <si>
    <t xml:space="preserve">Spending log</t>
  </si>
  <si>
    <t xml:space="preserve">One row per payment. Choose the category from the list so the Budget tab adds it up. The first row is an example: replace or delete it.</t>
  </si>
  <si>
    <t xml:space="preserve">Date</t>
  </si>
  <si>
    <t xml:space="preserve">Category</t>
  </si>
  <si>
    <t xml:space="preserve">What it was for</t>
  </si>
  <si>
    <t xml:space="preserve">Paid by</t>
  </si>
  <si>
    <t xml:space="preserve">Receipt / note</t>
  </si>
  <si>
    <t xml:space="preserve">Total spent</t>
  </si>
  <si>
    <t xml:space="preserve">Example: rice, vegetables and gas for week 1</t>
  </si>
  <si>
    <t xml:space="preserve">Campus office</t>
  </si>
  <si>
    <t xml:space="preserve">Example row</t>
  </si>
  <si>
    <t xml:space="preserve">Day</t>
  </si>
  <si>
    <t xml:space="preserve">Weekday</t>
  </si>
  <si>
    <t xml:space="preserve">Week</t>
  </si>
  <si>
    <t xml:space="preserve">Start</t>
  </si>
  <si>
    <t xml:space="preserve">End</t>
  </si>
  <si>
    <t xml:space="preserve">Time</t>
  </si>
  <si>
    <t xml:space="preserve">Session</t>
  </si>
  <si>
    <t xml:space="preserve">Type</t>
  </si>
  <si>
    <t xml:space="preserve">Details</t>
  </si>
  <si>
    <t xml:space="preserve">Welcome &amp; orientation</t>
  </si>
  <si>
    <t xml:space="preserve">Rules, timetable, rooms, site logins.</t>
  </si>
  <si>
    <t xml:space="preserve">English placement test, parts 1 to 3 (IT lab)</t>
  </si>
  <si>
    <t xml:space="preserve">Grammar, vocabulary and reading; listening; writing. On epicielts.live (it opens on first login). Supervised by campus staff.</t>
  </si>
  <si>
    <t xml:space="preserve">Tea break</t>
  </si>
  <si>
    <t xml:space="preserve">Getting to know you</t>
  </si>
  <si>
    <t xml:space="preserve">Names, introductions, what the 30 days look like. Campus staff.</t>
  </si>
  <si>
    <t xml:space="preserve">Lunch</t>
  </si>
  <si>
    <t xml:space="preserve">Placement part 4: speaking (one by one)</t>
  </si>
  <si>
    <t xml:space="preserve">5 minutes each. Students who are waiting start the parts of speech worksheet.</t>
  </si>
  <si>
    <t xml:space="preserve">Short break</t>
  </si>
  <si>
    <t xml:space="preserve">Foundation 1: parts of speech</t>
  </si>
  <si>
    <t xml:space="preserve">The 8 parts of speech: noun, pronoun, verb, adjective, adverb, preposition, conjunction, interjection. What each one does in a sentence. English workbook 1.</t>
  </si>
  <si>
    <t xml:space="preserve">Welcome night &amp; icebreakers</t>
  </si>
  <si>
    <t xml:space="preserve">Run by campus staff.</t>
  </si>
  <si>
    <t xml:space="preserve">Korean: Hangul 1: alphabet warm-up + How Hangul works</t>
  </si>
  <si>
    <t xml:space="preserve">Korean workbook 1. Same lesson on the Korean site for the IT lab.</t>
  </si>
  <si>
    <t xml:space="preserve">Korean practice: Hangul 1: alphabet warm-up + How Hangul works</t>
  </si>
  <si>
    <t xml:space="preserve">Korean: Hangul 2: Six starting vowels</t>
  </si>
  <si>
    <t xml:space="preserve">Korean practice: Hangul 2: Six starting vowels</t>
  </si>
  <si>
    <t xml:space="preserve">IT lab: Korean practice</t>
  </si>
  <si>
    <t xml:space="preserve">Korean: practise "Hangul 1: alphabet warm-up + How Hangul works" and "Hangul 2: Six starting vowels" on the Korean site.</t>
  </si>
  <si>
    <t xml:space="preserve">Korean: Hangul 3: The y-vowels</t>
  </si>
  <si>
    <t xml:space="preserve">Korean practice: Hangul 3: The y-vowels</t>
  </si>
  <si>
    <t xml:space="preserve">Korean: Hangul 4: Nine starting consonants</t>
  </si>
  <si>
    <t xml:space="preserve">Korean practice: Hangul 4: Nine starting consonants</t>
  </si>
  <si>
    <t xml:space="preserve">Korean: practise "Hangul 3: The y-vowels" and "Hangul 4: Nine starting consonants" on the Korean site.</t>
  </si>
  <si>
    <t xml:space="preserve">Foundation 2: sentence patterns (part 1)</t>
  </si>
  <si>
    <t xml:space="preserve">How English sentences are built: subject + verb (+ object / complement / place). Word order, questions and negatives with be and do. English workbook 1.</t>
  </si>
  <si>
    <t xml:space="preserve">Foundation 2: sentence patterns (part 2: practice)</t>
  </si>
  <si>
    <t xml:space="preserve">Build, speak and write sentences with today's patterns.</t>
  </si>
  <si>
    <t xml:space="preserve">Foundation 3: pronouns &amp; prepositions (part 1)</t>
  </si>
  <si>
    <t xml:space="preserve">Subject, object and possessive pronouns; this / that; prepositions of time (at, on, in) and place (in, on, under, next to, between). English workbook 1.</t>
  </si>
  <si>
    <t xml:space="preserve">Foundation 3: pronouns &amp; prepositions (part 2: practice)</t>
  </si>
  <si>
    <t xml:space="preserve">Practice in pairs and on paper.</t>
  </si>
  <si>
    <t xml:space="preserve">IT lab: English practice</t>
  </si>
  <si>
    <t xml:space="preserve">General English &gt; Learn, grammar lessons; repeat today's worksheet tasks on screen.</t>
  </si>
  <si>
    <t xml:space="preserve">Foundation 4: tenses (part 1)</t>
  </si>
  <si>
    <t xml:space="preserve">The tense timeline: present simple and continuous, past simple, future (will / going to), a first look at present perfect. English workbook 1.</t>
  </si>
  <si>
    <t xml:space="preserve">Foundation 4: tenses (part 2: practice)</t>
  </si>
  <si>
    <t xml:space="preserve">Foundation 5: conjunctions &amp; joining sentences (part 1)</t>
  </si>
  <si>
    <t xml:space="preserve">and, but, or, so, because, when, before, after. Joining short sentences into longer ones. Week 1 review quiz. English workbook 1.</t>
  </si>
  <si>
    <t xml:space="preserve">Foundation 5: conjunctions &amp; joining sentences (part 2: practice)</t>
  </si>
  <si>
    <t xml:space="preserve">Practice, then the week 1 review quiz.</t>
  </si>
  <si>
    <t xml:space="preserve">Presentation night #1: "This is me" (2 min each)</t>
  </si>
  <si>
    <t xml:space="preserve">Run by campus staff. Students use the sentences they built in the week 1 foundation lessons.</t>
  </si>
  <si>
    <t xml:space="preserve">Morning study time (self-study, campus staff)</t>
  </si>
  <si>
    <t xml:space="preserve">Revise yesterday's workbook pages.</t>
  </si>
  <si>
    <t xml:space="preserve">English: Grammar &amp; writing</t>
  </si>
  <si>
    <t xml:space="preserve">Home &amp; my town. there is / there are; prepositions of place. English workbook 2.</t>
  </si>
  <si>
    <t xml:space="preserve">English: Speaking</t>
  </si>
  <si>
    <t xml:space="preserve">Home &amp; my town. Describe your home</t>
  </si>
  <si>
    <t xml:space="preserve">Korean: Hangul 5: Air and consonants</t>
  </si>
  <si>
    <t xml:space="preserve">Korean practice: Hangul 5: Air and consonants</t>
  </si>
  <si>
    <t xml:space="preserve">Korean: practise "Hangul 5: Air and consonants" on the Korean site.</t>
  </si>
  <si>
    <t xml:space="preserve">Food &amp; shopping. Countable / uncountable; some / any. English workbook 2.</t>
  </si>
  <si>
    <t xml:space="preserve">Food &amp; shopping. Ordering in a café or restaurant</t>
  </si>
  <si>
    <t xml:space="preserve">Korean: Hangul 6: Tense consonants</t>
  </si>
  <si>
    <t xml:space="preserve">Korean practice: Hangul 6: Tense consonants</t>
  </si>
  <si>
    <t xml:space="preserve">Korean: practise "Hangul 6: Tense consonants" on the Korean site.</t>
  </si>
  <si>
    <t xml:space="preserve">Korean: Review: Hangul 1 to 6 + writing practice</t>
  </si>
  <si>
    <t xml:space="preserve">Korean practice: Review: Hangul 1 to 6 + writing practice</t>
  </si>
  <si>
    <t xml:space="preserve">English: Reading &amp; vocabulary</t>
  </si>
  <si>
    <t xml:space="preserve">Home &amp; my town. Places in town. English workbook 2.</t>
  </si>
  <si>
    <t xml:space="preserve">English: Listening</t>
  </si>
  <si>
    <t xml:space="preserve">Home &amp; my town. Following directions on a map</t>
  </si>
  <si>
    <t xml:space="preserve">English: General English &gt; Learn &gt; "Home &amp; my town", then its practice questions. Korean: practise "Review: Hangul 1 to 6 + writing practice" on the Korean site.</t>
  </si>
  <si>
    <t xml:space="preserve">Now and last weekend. Present continuous vs present simple. English workbook 2.</t>
  </si>
  <si>
    <t xml:space="preserve">Now and last weekend. Describing a picture</t>
  </si>
  <si>
    <t xml:space="preserve">Korean: Hangul 7: Eleven more vowels</t>
  </si>
  <si>
    <t xml:space="preserve">Korean workbook 2. Same lesson on the Korean site for the IT lab.</t>
  </si>
  <si>
    <t xml:space="preserve">Korean practice: Hangul 7: Eleven more vowels</t>
  </si>
  <si>
    <t xml:space="preserve">Korean: practise "Hangul 7: Eleven more vowels" on the Korean site.</t>
  </si>
  <si>
    <t xml:space="preserve">Korean: Hangul 8: Build and write blocks</t>
  </si>
  <si>
    <t xml:space="preserve">Korean practice: Hangul 8: Build and write blocks</t>
  </si>
  <si>
    <t xml:space="preserve">Food &amp; shopping. Clothes, prices and shops. English workbook 2.</t>
  </si>
  <si>
    <t xml:space="preserve">Food &amp; shopping. Week 2 review: a day in the city</t>
  </si>
  <si>
    <t xml:space="preserve">English: General English &gt; Learn &gt; "Food &amp; shopping", then its practice questions. Korean: practise "Hangul 8: Build and write blocks" on the Korean site.</t>
  </si>
  <si>
    <t xml:space="preserve">Korean: Hangul 9: Final consonants: batchim</t>
  </si>
  <si>
    <t xml:space="preserve">Korean practice: Hangul 9: Final consonants: batchim</t>
  </si>
  <si>
    <t xml:space="preserve">Now and last weekend. Weekend activities. English workbook 2.</t>
  </si>
  <si>
    <t xml:space="preserve">Now and last weekend. A weekend story</t>
  </si>
  <si>
    <t xml:space="preserve">English: General English &gt; Learn &gt; "Now and last weekend", then its practice questions. Korean: practise "Hangul 9: Final consonants: batchim" on the Korean site.</t>
  </si>
  <si>
    <t xml:space="preserve">Debate night #1: City life or village life?</t>
  </si>
  <si>
    <t xml:space="preserve">Korean: Hangul 10: Link sounds between blocks</t>
  </si>
  <si>
    <t xml:space="preserve">Korean practice: Hangul 10: Link sounds between blocks</t>
  </si>
  <si>
    <t xml:space="preserve">Yesterday &amp; school. School subjects and education. English workbook 2.</t>
  </si>
  <si>
    <t xml:space="preserve">Mock scholarship interview round 1 (side room)</t>
  </si>
  <si>
    <t xml:space="preserve">English Teacher 2 takes students one by one to a side room, 7 minutes each plus written feedback. The rest of the class carries on with the afternoon lesson.</t>
  </si>
  <si>
    <t xml:space="preserve">Yesterday &amp; school. Students talk about school</t>
  </si>
  <si>
    <t xml:space="preserve">English: General English &gt; Learn &gt; "Yesterday &amp; school", then its practice questions. Korean: practise "Hangul 10: Link sounds between blocks" on the Korean site.</t>
  </si>
  <si>
    <t xml:space="preserve">Yesterday &amp; school. Past simple of be (was / were). English workbook 2.</t>
  </si>
  <si>
    <t xml:space="preserve">Yesterday &amp; school. Where were you yesterday?</t>
  </si>
  <si>
    <t xml:space="preserve">Korean: Hangul 11: Double finals and sound changes</t>
  </si>
  <si>
    <t xml:space="preserve">Korean practice: Hangul 11: Double finals and sound changes</t>
  </si>
  <si>
    <t xml:space="preserve">Korean: practise "Hangul 11: Double finals and sound changes" on the Korean site.</t>
  </si>
  <si>
    <t xml:space="preserve">Mid-programme English test: language &amp; reading</t>
  </si>
  <si>
    <t xml:space="preserve">Mid-programme English test: writing</t>
  </si>
  <si>
    <t xml:space="preserve">Mid-programme English test: listening</t>
  </si>
  <si>
    <t xml:space="preserve">Mid-programme test: speaking (one by one) + IT lab review</t>
  </si>
  <si>
    <t xml:space="preserve">Students not being tested review their weak areas in the IT lab.</t>
  </si>
  <si>
    <t xml:space="preserve">Korean: Hangul 12: Read words and sentences</t>
  </si>
  <si>
    <t xml:space="preserve">Korean practice: Hangul 12: Read words and sentences</t>
  </si>
  <si>
    <t xml:space="preserve">Korean: Mid-programme Korean check (Hangul)</t>
  </si>
  <si>
    <t xml:space="preserve">Mid-programme Korean check (Hangul) (continued)</t>
  </si>
  <si>
    <t xml:space="preserve">Korean: practise "Hangul 12: Read words and sentences" and "Mid-programme Korean check (Hangul)" on the Korean site.</t>
  </si>
  <si>
    <t xml:space="preserve">Travel &amp; health. Past simple; first, then, after that, finally. English workbook 3.</t>
  </si>
  <si>
    <t xml:space="preserve">Travel &amp; health. Telling a short travel story</t>
  </si>
  <si>
    <t xml:space="preserve">Korean: Beginner 1 lesson 1: Greetings &amp; introductions</t>
  </si>
  <si>
    <t xml:space="preserve">Korean workbook 3. Same lesson on the Korean site for the IT lab.</t>
  </si>
  <si>
    <t xml:space="preserve">Korean practice: Beginner 1 lesson 1: Greetings &amp; introductions</t>
  </si>
  <si>
    <t xml:space="preserve">Korean: practise "Beginner 1 lesson 1: Greetings &amp; introductions" on the Korean site.</t>
  </si>
  <si>
    <t xml:space="preserve">Korean: Beginner 1 lesson 2: What is this?</t>
  </si>
  <si>
    <t xml:space="preserve">Korean practice: Beginner 1 lesson 2: What is this?</t>
  </si>
  <si>
    <t xml:space="preserve">Travel &amp; health. Body, health and the doctor. English workbook 3.</t>
  </si>
  <si>
    <t xml:space="preserve">Travel &amp; health. At the clinic</t>
  </si>
  <si>
    <t xml:space="preserve">English: General English &gt; Learn &gt; "Travel &amp; health", then its practice questions. Korean: practise "Beginner 1 lesson 2: What is this?" on the Korean site.</t>
  </si>
  <si>
    <t xml:space="preserve">Presentation night #2: "My best memory"</t>
  </si>
  <si>
    <t xml:space="preserve">Korean: Beginner 1 lesson 3: Where is it?</t>
  </si>
  <si>
    <t xml:space="preserve">Korean practice: Beginner 1 lesson 3: Where is it?</t>
  </si>
  <si>
    <t xml:space="preserve">English: Review &amp; extra practice</t>
  </si>
  <si>
    <t xml:space="preserve">Week 3 review: travel, health and the past tense. Extra practice pages + weekly quiz.</t>
  </si>
  <si>
    <t xml:space="preserve">English: Speaking practice in pairs</t>
  </si>
  <si>
    <t xml:space="preserve">Weekly General English quiz under Practice.</t>
  </si>
  <si>
    <t xml:space="preserve">Korean: Beginner 1 lesson 4: My everyday actions</t>
  </si>
  <si>
    <t xml:space="preserve">Korean practice: Beginner 1 lesson 4: My everyday actions</t>
  </si>
  <si>
    <t xml:space="preserve">Plans &amp; careers. Jobs and careers. English workbook 3.</t>
  </si>
  <si>
    <t xml:space="preserve">Mock scholarship interview round 2 (side room)</t>
  </si>
  <si>
    <t xml:space="preserve">Plans &amp; careers. Advice for a new student</t>
  </si>
  <si>
    <t xml:space="preserve">English: General English &gt; Learn &gt; "Plans &amp; careers", then its practice questions. Korean: practise "Beginner 1 lesson 4: My everyday actions" on the Korean site.</t>
  </si>
  <si>
    <t xml:space="preserve">Plans &amp; careers. be going to; future time expressions. English workbook 3.</t>
  </si>
  <si>
    <t xml:space="preserve">Plans &amp; careers. Talking about plans</t>
  </si>
  <si>
    <t xml:space="preserve">Korean: Beginner 1 lesson 5: Places &amp; going out</t>
  </si>
  <si>
    <t xml:space="preserve">Korean practice: Beginner 1 lesson 5: Places &amp; going out</t>
  </si>
  <si>
    <t xml:space="preserve">Korean: practise "Beginner 1 lesson 5: Places &amp; going out" on the Korean site.</t>
  </si>
  <si>
    <t xml:space="preserve">Studying in Korea. Comparatives and superlatives. English workbook 3.</t>
  </si>
  <si>
    <t xml:space="preserve">Studying in Korea. Comparing countries and universities</t>
  </si>
  <si>
    <t xml:space="preserve">Korean: Beginner 1 lesson 6: Numbers &amp; prices</t>
  </si>
  <si>
    <t xml:space="preserve">Korean practice: Beginner 1 lesson 6: Numbers &amp; prices</t>
  </si>
  <si>
    <t xml:space="preserve">Korean: practise "Beginner 1 lesson 6: Numbers &amp; prices" on the Korean site.</t>
  </si>
  <si>
    <t xml:space="preserve">Korean: Review: Beginner 1 lessons 1 to 6</t>
  </si>
  <si>
    <t xml:space="preserve">Korean practice: Review: Beginner 1 lessons 1 to 6</t>
  </si>
  <si>
    <t xml:space="preserve">Studying in Korea. Rules, culture and daily life. English workbook 3.</t>
  </si>
  <si>
    <t xml:space="preserve">Studying in Korea. Phone calls and appointments</t>
  </si>
  <si>
    <t xml:space="preserve">English: General English &gt; Learn &gt; "Studying in Korea", then its practice questions. Korean: practise "Review: Beginner 1 lessons 1 to 6" on the Korean site.</t>
  </si>
  <si>
    <t xml:space="preserve">Emails &amp; goals. Formal vs informal emails. English workbook 4.</t>
  </si>
  <si>
    <t xml:space="preserve">Emails &amp; goals. Polite requests</t>
  </si>
  <si>
    <t xml:space="preserve">Korean: Beginner 1 lesson 7: Shopping &amp; quantities</t>
  </si>
  <si>
    <t xml:space="preserve">Korean workbook 4. Same lesson on the Korean site for the IT lab.</t>
  </si>
  <si>
    <t xml:space="preserve">Korean practice: Beginner 1 lesson 7: Shopping &amp; quantities</t>
  </si>
  <si>
    <t xml:space="preserve">Korean: practise "Beginner 1 lesson 7: Shopping &amp; quantities" on the Korean site.</t>
  </si>
  <si>
    <t xml:space="preserve">Debate night #2: Is studying abroad worth it?</t>
  </si>
  <si>
    <t xml:space="preserve">Korean: Beginner 1 lesson 8: Time &amp; routines</t>
  </si>
  <si>
    <t xml:space="preserve">Korean practice: Beginner 1 lesson 8: Time &amp; routines</t>
  </si>
  <si>
    <t xml:space="preserve">Emails &amp; goals. Personality and skills. English workbook 4.</t>
  </si>
  <si>
    <t xml:space="preserve">Emails &amp; goals. Students describe their goals</t>
  </si>
  <si>
    <t xml:space="preserve">English: General English &gt; Learn &gt; "Emails &amp; goals", then its practice questions. Korean: practise "Beginner 1 lesson 8: Time &amp; routines" on the Korean site.</t>
  </si>
  <si>
    <t xml:space="preserve">Korean: Beginner 1 lesson 9: What I do &amp; do not do</t>
  </si>
  <si>
    <t xml:space="preserve">Korean practice: Beginner 1 lesson 9: What I do &amp; do not do</t>
  </si>
  <si>
    <t xml:space="preserve">The scholarship interview. Phrases for a personal statement. English workbook 4.</t>
  </si>
  <si>
    <t xml:space="preserve">The scholarship interview. Feedback on personal statements</t>
  </si>
  <si>
    <t xml:space="preserve">English: General English &gt; Learn &gt; "The scholarship interview", then its practice questions. Korean: practise "Beginner 1 lesson 9: What I do &amp; do not do" on the Korean site.</t>
  </si>
  <si>
    <t xml:space="preserve">Korean: Beginner 1 lesson 10: What I did yesterday</t>
  </si>
  <si>
    <t xml:space="preserve">Korean practice: Beginner 1 lesson 10: What I did yesterday</t>
  </si>
  <si>
    <t xml:space="preserve">Interview language review: point, reason, example. Practise answers in pairs.</t>
  </si>
  <si>
    <t xml:space="preserve">Mock scholarship interview round 3 (side room)</t>
  </si>
  <si>
    <t xml:space="preserve">The scholarship interview. Answer structure: point, reason, example. English workbook 4.</t>
  </si>
  <si>
    <t xml:space="preserve">The scholarship interview. Have you ever...? (present perfect)</t>
  </si>
  <si>
    <t xml:space="preserve">Korean: Beginner 1 lesson 11: What I want to do</t>
  </si>
  <si>
    <t xml:space="preserve">Korean practice: Beginner 1 lesson 11: What I want to do</t>
  </si>
  <si>
    <t xml:space="preserve">Korean: practise "Beginner 1 lesson 11: What I want to do" on the Korean site.</t>
  </si>
  <si>
    <t xml:space="preserve">Final English test: language &amp; reading</t>
  </si>
  <si>
    <t xml:space="preserve">Final English test: writing</t>
  </si>
  <si>
    <t xml:space="preserve">Final English test: listening</t>
  </si>
  <si>
    <t xml:space="preserve">Final mock interviews (counts as the final speaking test)</t>
  </si>
  <si>
    <t xml:space="preserve">Korean: Beginner 1 lesson 12: Put it all together</t>
  </si>
  <si>
    <t xml:space="preserve">Korean practice: Beginner 1 lesson 12: Put it all together</t>
  </si>
  <si>
    <t xml:space="preserve">Korean: Final Korean test</t>
  </si>
  <si>
    <t xml:space="preserve">Final Korean test (continued)</t>
  </si>
  <si>
    <t xml:space="preserve">Korean: practise "Beginner 1 lesson 12: Put it all together" and "Final Korean test" on the Korean site.</t>
  </si>
  <si>
    <t xml:space="preserve">Final English presentations (part 1)</t>
  </si>
  <si>
    <t xml:space="preserve">Final English presentations (part 2) + programme review</t>
  </si>
  <si>
    <t xml:space="preserve">Korean: Korean self-introduction (graduation speech practice)</t>
  </si>
  <si>
    <t xml:space="preserve">Korean practice: Korean self-introduction (graduation speech practice)</t>
  </si>
  <si>
    <t xml:space="preserve">Korean: practise "Korean self-introduction (graduation speech practice)" on the Korean site.</t>
  </si>
  <si>
    <t xml:space="preserve">Graduation ceremony &amp; certificates</t>
  </si>
  <si>
    <t xml:space="preserve">Run by campus staff with all teachers invited.</t>
  </si>
  <si>
    <t xml:space="preserve">Program at a glance</t>
  </si>
  <si>
    <t xml:space="preserve">Day 1
Fri 30 Oct</t>
  </si>
  <si>
    <t xml:space="preserve">Day 2
Sat 31 Oct</t>
  </si>
  <si>
    <t xml:space="preserve">Day 3
Sun 01 Nov</t>
  </si>
  <si>
    <t xml:space="preserve">Day 4
Mon 02 Nov</t>
  </si>
  <si>
    <t xml:space="preserve">Day 5
Tue 03 Nov</t>
  </si>
  <si>
    <t xml:space="preserve">Day 6
Wed 04 Nov</t>
  </si>
  <si>
    <t xml:space="preserve">Day 7
Thu 05 Nov</t>
  </si>
  <si>
    <t xml:space="preserve">Day 8
Fri 06 Nov</t>
  </si>
  <si>
    <t xml:space="preserve">Day 9
Sat 07 Nov</t>
  </si>
  <si>
    <t xml:space="preserve">Day 10
Sun 08 Nov</t>
  </si>
  <si>
    <t xml:space="preserve">Day 11
Mon 09 Nov</t>
  </si>
  <si>
    <t xml:space="preserve">Day 12
Tue 10 Nov</t>
  </si>
  <si>
    <t xml:space="preserve">Day 13
Wed 11 Nov</t>
  </si>
  <si>
    <t xml:space="preserve">Day 14
Thu 12 Nov</t>
  </si>
  <si>
    <t xml:space="preserve">Day 15
Fri 13 Nov</t>
  </si>
  <si>
    <t xml:space="preserve">Day 16
Sat 14 Nov</t>
  </si>
  <si>
    <t xml:space="preserve">Day 17
Sun 15 Nov</t>
  </si>
  <si>
    <t xml:space="preserve">Day 18
Mon 16 Nov</t>
  </si>
  <si>
    <t xml:space="preserve">Day 19
Tue 17 Nov</t>
  </si>
  <si>
    <t xml:space="preserve">Day 20
Wed 18 Nov</t>
  </si>
  <si>
    <t xml:space="preserve">Day 21
Thu 19 Nov</t>
  </si>
  <si>
    <t xml:space="preserve">Day 22
Fri 20 Nov</t>
  </si>
  <si>
    <t xml:space="preserve">Day 23
Sat 21 Nov</t>
  </si>
  <si>
    <t xml:space="preserve">Day 24
Sun 22 Nov</t>
  </si>
  <si>
    <t xml:space="preserve">Day 25
Mon 23 Nov</t>
  </si>
  <si>
    <t xml:space="preserve">Day 26
Tue 24 Nov</t>
  </si>
  <si>
    <t xml:space="preserve">Day 27
Wed 25 Nov</t>
  </si>
  <si>
    <t xml:space="preserve">Day 28
Thu 26 Nov</t>
  </si>
  <si>
    <t xml:space="preserve">Day 29
Fri 27 Nov</t>
  </si>
  <si>
    <t xml:space="preserve">Day 30
Sat 28 Nov</t>
  </si>
  <si>
    <t xml:space="preserve">8:30 AM</t>
  </si>
  <si>
    <t xml:space="preserve">Welcome &amp; orientation
8:30 to 9:00</t>
  </si>
  <si>
    <t xml:space="preserve">Korean: Hangul 1: alphabet warm-up + How Hangul works
8:30 to 10:00
Korean Teacher 1</t>
  </si>
  <si>
    <t xml:space="preserve">Korean: Hangul 3: The y-vowels
8:30 to 10:00
Korean Teacher 1</t>
  </si>
  <si>
    <t xml:space="preserve">Foundation 2: sentence patterns (part 1)
8:30 to 10:00
English Teacher 2</t>
  </si>
  <si>
    <t xml:space="preserve">Foundation 4: tenses (part 1)
8:30 to 10:00
English Teacher 2</t>
  </si>
  <si>
    <t xml:space="preserve">Morning study time (self-study, campus staff)
8:30 to 9:00</t>
  </si>
  <si>
    <t xml:space="preserve">Korean: Review: Hangul 1 to 6 + writing practice
8:30 to 10:00
Korean Teacher 1</t>
  </si>
  <si>
    <t xml:space="preserve">Korean: Hangul 8: Build and write blocks
8:30 to 10:00
Korean Teacher 1</t>
  </si>
  <si>
    <t xml:space="preserve">Korean: Hangul 9: Final consonants: batchim
8:30 to 10:00
Korean Teacher 1</t>
  </si>
  <si>
    <t xml:space="preserve">Korean: Hangul 10: Link sounds between blocks
8:30 to 10:00
Korean Teacher 1</t>
  </si>
  <si>
    <t xml:space="preserve">Korean: Hangul 12: Read words and sentences
8:30 to 10:00
Korean Teacher 1</t>
  </si>
  <si>
    <t xml:space="preserve">Korean: Beginner 1 lesson 2: What is this?
8:30 to 10:00
Korean Teacher 1</t>
  </si>
  <si>
    <t xml:space="preserve">Korean: Beginner 1 lesson 3: Where is it?
8:30 to 10:00
Korean Teacher 1</t>
  </si>
  <si>
    <t xml:space="preserve">Korean: Beginner 1 lesson 4: My everyday actions
8:30 to 10:00
Korean Teacher 1</t>
  </si>
  <si>
    <t xml:space="preserve">Korean: Review: Beginner 1 lessons 1 to 6
8:30 to 10:00
Korean Teacher 1</t>
  </si>
  <si>
    <t xml:space="preserve">Korean: Beginner 1 lesson 8: Time &amp; routines
8:30 to 10:00
Korean Teacher 1</t>
  </si>
  <si>
    <t xml:space="preserve">Korean: Beginner 1 lesson 9: What I do &amp; do not do
8:30 to 10:00
Korean Teacher 1</t>
  </si>
  <si>
    <t xml:space="preserve">Korean: Beginner 1 lesson 10: What I did yesterday
8:30 to 10:00
Korean Teacher 1</t>
  </si>
  <si>
    <t xml:space="preserve">Korean: Beginner 1 lesson 12: Put it all together
8:30 to 10:00
Korean Teacher 1</t>
  </si>
  <si>
    <t xml:space="preserve">9:00 AM</t>
  </si>
  <si>
    <t xml:space="preserve">English placement test, parts 1 to 3 (IT lab)
9:00 to 10:45</t>
  </si>
  <si>
    <t xml:space="preserve">English: Grammar &amp; writing
9:00 to 10:30
English Teacher 1</t>
  </si>
  <si>
    <t xml:space="preserve">Mid-programme English test: language &amp; reading
9:00 to 10:30
English Teacher 1</t>
  </si>
  <si>
    <t xml:space="preserve">Final English test: language &amp; reading
9:00 to 10:30
English Teacher 1</t>
  </si>
  <si>
    <t xml:space="preserve">Final English presentations (part 1)
9:00 to 10:30
English Teacher 1</t>
  </si>
  <si>
    <t xml:space="preserve">10:00 AM</t>
  </si>
  <si>
    <t xml:space="preserve">10:15 AM</t>
  </si>
  <si>
    <t xml:space="preserve">Korean practice: Hangul 1: alphabet warm-up + How Hangul works
10:15 to 11:30
Korean Teacher 1</t>
  </si>
  <si>
    <t xml:space="preserve">Korean practice: Hangul 3: The y-vowels
10:15 to 11:30
Korean Teacher 1</t>
  </si>
  <si>
    <t xml:space="preserve">Foundation 2: sentence patterns (part 2: practice)
10:15 to 11:30
English Teacher 2</t>
  </si>
  <si>
    <t xml:space="preserve">Foundation 4: tenses (part 2: practice)
10:15 to 11:30
English Teacher 2</t>
  </si>
  <si>
    <t xml:space="preserve">Korean practice: Review: Hangul 1 to 6 + writing practice
10:15 to 11:30
Korean Teacher 1</t>
  </si>
  <si>
    <t xml:space="preserve">Korean practice: Hangul 8: Build and write blocks
10:15 to 11:30
Korean Teacher 1</t>
  </si>
  <si>
    <t xml:space="preserve">Korean practice: Hangul 9: Final consonants: batchim
10:15 to 11:30
Korean Teacher 1</t>
  </si>
  <si>
    <t xml:space="preserve">Korean practice: Hangul 10: Link sounds between blocks
10:15 to 11:30
Korean Teacher 1</t>
  </si>
  <si>
    <t xml:space="preserve">Korean practice: Hangul 12: Read words and sentences
10:15 to 11:30
Korean Teacher 1</t>
  </si>
  <si>
    <t xml:space="preserve">Korean practice: Beginner 1 lesson 2: What is this?
10:15 to 11:30
Korean Teacher 1</t>
  </si>
  <si>
    <t xml:space="preserve">Korean practice: Beginner 1 lesson 3: Where is it?
10:15 to 11:30
Korean Teacher 1</t>
  </si>
  <si>
    <t xml:space="preserve">Korean practice: Beginner 1 lesson 4: My everyday actions
10:15 to 11:30
Korean Teacher 1</t>
  </si>
  <si>
    <t xml:space="preserve">Korean practice: Review: Beginner 1 lessons 1 to 6
10:15 to 11:30
Korean Teacher 1</t>
  </si>
  <si>
    <t xml:space="preserve">Korean practice: Beginner 1 lesson 8: Time &amp; routines
10:15 to 11:30
Korean Teacher 1</t>
  </si>
  <si>
    <t xml:space="preserve">Korean practice: Beginner 1 lesson 9: What I do &amp; do not do
10:15 to 11:30
Korean Teacher 1</t>
  </si>
  <si>
    <t xml:space="preserve">Korean practice: Beginner 1 lesson 10: What I did yesterday
10:15 to 11:30
Korean Teacher 1</t>
  </si>
  <si>
    <t xml:space="preserve">Korean practice: Beginner 1 lesson 12: Put it all together
10:15 to 11:30
Korean Teacher 1</t>
  </si>
  <si>
    <t xml:space="preserve">10:30 AM</t>
  </si>
  <si>
    <t xml:space="preserve">10:45 AM</t>
  </si>
  <si>
    <t xml:space="preserve">English: Speaking
10:45 to 12:00
English Teacher 1</t>
  </si>
  <si>
    <t xml:space="preserve">Mid-programme English test: writing
10:45 to 12:00
English Teacher 1</t>
  </si>
  <si>
    <t xml:space="preserve">Final English test: writing
10:45 to 12:00
English Teacher 1</t>
  </si>
  <si>
    <t xml:space="preserve">Final English presentations (part 2) + programme review
10:45 to 12:00
English Teacher 1</t>
  </si>
  <si>
    <t xml:space="preserve">11:00 AM</t>
  </si>
  <si>
    <t xml:space="preserve">Getting to know you
11:00 to 11:30</t>
  </si>
  <si>
    <t xml:space="preserve">11:30 AM</t>
  </si>
  <si>
    <t xml:space="preserve">12:00 PM</t>
  </si>
  <si>
    <t xml:space="preserve">1:00 PM</t>
  </si>
  <si>
    <t xml:space="preserve">Placement part 4: speaking (one by one)
1:00 to 2:00
English Teacher 2</t>
  </si>
  <si>
    <t xml:space="preserve">Korean: Hangul 2: Six starting vowels
1:00 to 2:30
Korean Teacher 2</t>
  </si>
  <si>
    <t xml:space="preserve">Korean: Hangul 4: Nine starting consonants
1:00 to 2:30
Korean Teacher 2</t>
  </si>
  <si>
    <t xml:space="preserve">Foundation 3: pronouns &amp; prepositions (part 1)
1:00 to 2:30
English Teacher 3</t>
  </si>
  <si>
    <t xml:space="preserve">Foundation 5: conjunctions &amp; joining sentences (part 1)
1:00 to 2:30
English Teacher 2</t>
  </si>
  <si>
    <t xml:space="preserve">Korean: Hangul 5: Air and consonants
1:00 to 2:30
Korean Teacher 2</t>
  </si>
  <si>
    <t xml:space="preserve">Korean: Hangul 6: Tense consonants
1:00 to 2:30
Korean Teacher 2</t>
  </si>
  <si>
    <t xml:space="preserve">English: Reading &amp; vocabulary
1:00 to 2:00
English Teacher 3</t>
  </si>
  <si>
    <t xml:space="preserve">Korean: Hangul 7: Eleven more vowels
1:00 to 2:30
Korean Teacher 2</t>
  </si>
  <si>
    <t xml:space="preserve">English: Reading &amp; vocabulary + Mock scholarship interview round 1 (side room) (English Teacher 2)
1:00 to 2:00
English Teacher 3</t>
  </si>
  <si>
    <t xml:space="preserve">Korean: Hangul 11: Double finals and sound changes
1:00 to 2:30
Korean Teacher 2</t>
  </si>
  <si>
    <t xml:space="preserve">Mid-programme English test: listening
1:00 to 2:00
English Teacher 3</t>
  </si>
  <si>
    <t xml:space="preserve">Korean: Mid-programme Korean check (Hangul)
1:00 to 2:30
Korean Teacher 2</t>
  </si>
  <si>
    <t xml:space="preserve">Korean: Beginner 1 lesson 1: Greetings &amp; introductions
1:00 to 2:30
Korean Teacher 2</t>
  </si>
  <si>
    <t xml:space="preserve">English: Review &amp; extra practice
1:00 to 2:30
English Teacher 3</t>
  </si>
  <si>
    <t xml:space="preserve">English: Reading &amp; vocabulary + Mock scholarship interview round 2 (side room) (English Teacher 2)
1:00 to 2:00
English Teacher 3</t>
  </si>
  <si>
    <t xml:space="preserve">Korean: Beginner 1 lesson 5: Places &amp; going out
1:00 to 2:30
Korean Teacher 2</t>
  </si>
  <si>
    <t xml:space="preserve">Korean: Beginner 1 lesson 6: Numbers &amp; prices
1:00 to 2:30
Korean Teacher 2</t>
  </si>
  <si>
    <t xml:space="preserve">Korean: Beginner 1 lesson 7: Shopping &amp; quantities
1:00 to 2:30
Korean Teacher 2</t>
  </si>
  <si>
    <t xml:space="preserve">English: Review &amp; extra practice + Mock scholarship interview round 3 (side room) (English Teacher 2)
1:00 to 2:30
English Teacher 3</t>
  </si>
  <si>
    <t xml:space="preserve">Korean: Beginner 1 lesson 11: What I want to do
1:00 to 2:30
Korean Teacher 2</t>
  </si>
  <si>
    <t xml:space="preserve">Final English test: listening
1:00 to 2:00
English Teacher 3</t>
  </si>
  <si>
    <t xml:space="preserve">Korean: Final Korean test
1:00 to 2:30
Korean Teacher 2</t>
  </si>
  <si>
    <t xml:space="preserve">Korean: Korean self-introduction (graduation speech practice)
1:00 to 2:30
Korean Teacher 2</t>
  </si>
  <si>
    <t xml:space="preserve">2:00 PM</t>
  </si>
  <si>
    <t xml:space="preserve">2:15 PM</t>
  </si>
  <si>
    <t xml:space="preserve">Foundation 1: parts of speech
2:15 to 4:30
English Teacher 2</t>
  </si>
  <si>
    <t xml:space="preserve">English: Listening
2:15 to 3:15
English Teacher 3</t>
  </si>
  <si>
    <t xml:space="preserve">Mid-programme test: speaking (one by one) + IT lab review
2:15 to 4:30
English Teacher 3</t>
  </si>
  <si>
    <t xml:space="preserve">Final mock interviews (counts as the final speaking test)
2:15 to 4:30
English Teacher 2</t>
  </si>
  <si>
    <t xml:space="preserve">2:30 PM</t>
  </si>
  <si>
    <t xml:space="preserve">2:45 PM</t>
  </si>
  <si>
    <t xml:space="preserve">Korean practice: Hangul 2: Six starting vowels
2:45 to 3:30
Korean Teacher 2</t>
  </si>
  <si>
    <t xml:space="preserve">Korean practice: Hangul 4: Nine starting consonants
2:45 to 3:30
Korean Teacher 2</t>
  </si>
  <si>
    <t xml:space="preserve">Foundation 3: pronouns &amp; prepositions (part 2: practice)
2:45 to 3:30
English Teacher 3</t>
  </si>
  <si>
    <t xml:space="preserve">Foundation 5: conjunctions &amp; joining sentences (part 2: practice)
2:45 to 3:30
English Teacher 2</t>
  </si>
  <si>
    <t xml:space="preserve">Korean practice: Hangul 5: Air and consonants
2:45 to 3:30
Korean Teacher 2</t>
  </si>
  <si>
    <t xml:space="preserve">Korean practice: Hangul 6: Tense consonants
2:45 to 3:30
Korean Teacher 2</t>
  </si>
  <si>
    <t xml:space="preserve">Korean practice: Hangul 7: Eleven more vowels
2:45 to 3:30
Korean Teacher 2</t>
  </si>
  <si>
    <t xml:space="preserve">Korean practice: Hangul 11: Double finals and sound changes
2:45 to 3:30
Korean Teacher 2</t>
  </si>
  <si>
    <t xml:space="preserve">Mid-programme Korean check (Hangul) (continued)
2:45 to 3:30
Korean Teacher 2</t>
  </si>
  <si>
    <t xml:space="preserve">Korean practice: Beginner 1 lesson 1: Greetings &amp; introductions
2:45 to 3:30
Korean Teacher 2</t>
  </si>
  <si>
    <t xml:space="preserve">English: Speaking practice in pairs
2:45 to 3:30
English Teacher 3</t>
  </si>
  <si>
    <t xml:space="preserve">Korean practice: Beginner 1 lesson 5: Places &amp; going out
2:45 to 3:30
Korean Teacher 2</t>
  </si>
  <si>
    <t xml:space="preserve">Korean practice: Beginner 1 lesson 6: Numbers &amp; prices
2:45 to 3:30
Korean Teacher 2</t>
  </si>
  <si>
    <t xml:space="preserve">Korean practice: Beginner 1 lesson 7: Shopping &amp; quantities
2:45 to 3:30
Korean Teacher 2</t>
  </si>
  <si>
    <t xml:space="preserve">Korean practice: Beginner 1 lesson 11: What I want to do
2:45 to 3:30
Korean Teacher 2</t>
  </si>
  <si>
    <t xml:space="preserve">Final Korean test (continued)
2:45 to 3:30
Korean Teacher 2</t>
  </si>
  <si>
    <t xml:space="preserve">Korean practice: Korean self-introduction (graduation speech practice)
2:45 to 3:30
Korean Teacher 2</t>
  </si>
  <si>
    <t xml:space="preserve">3:15 PM</t>
  </si>
  <si>
    <t xml:space="preserve">3:30 PM</t>
  </si>
  <si>
    <t xml:space="preserve">IT lab: Korean practice
3:30 to 4:30
Korean Teacher 2</t>
  </si>
  <si>
    <t xml:space="preserve">IT lab: English practice
3:30 to 4:30
English Teacher 3</t>
  </si>
  <si>
    <t xml:space="preserve">IT lab: English practice
3:30 to 4:30
English Teacher 2</t>
  </si>
  <si>
    <t xml:space="preserve">6:30 PM</t>
  </si>
  <si>
    <t xml:space="preserve">Welcome night &amp; icebreakers
6:30 to 7:30</t>
  </si>
  <si>
    <t xml:space="preserve">Presentation night #1: "This is me" (2 min each)
6:30 to 7:30</t>
  </si>
  <si>
    <t xml:space="preserve">Debate night #1: City life or village life?
6:30 to 7:30</t>
  </si>
  <si>
    <t xml:space="preserve">Presentation night #2: "My best memory"
6:30 to 7:30</t>
  </si>
  <si>
    <t xml:space="preserve">Debate night #2: Is studying abroad worth it?
6:30 to 7:30</t>
  </si>
  <si>
    <t xml:space="preserve">Graduation ceremony &amp; certificates
6:30 to 7:30</t>
  </si>
  <si>
    <t xml:space="preserve">Theme</t>
  </si>
  <si>
    <t xml:space="preserve">English focus</t>
  </si>
  <si>
    <t xml:space="preserve">Korean focus (suggested)</t>
  </si>
  <si>
    <t xml:space="preserve">IT lab task</t>
  </si>
  <si>
    <t xml:space="preserve">Welcome + placement test + Placement speaking + Foundation 1</t>
  </si>
  <si>
    <t xml:space="preserve">Morning: Welcome + placement test
Afternoon: Placement speaking + Foundation 1</t>
  </si>
  <si>
    <t xml:space="preserve">No Korean today</t>
  </si>
  <si>
    <t xml:space="preserve">English: General English &gt; Learn, revise this week's lessons.</t>
  </si>
  <si>
    <t xml:space="preserve">Korean day: Hangul 1: alphabet warm-up + How Hangul works</t>
  </si>
  <si>
    <t xml:space="preserve">No English today</t>
  </si>
  <si>
    <t xml:space="preserve">Morning: Hangul 1: alphabet warm-up + How Hangul works
Afternoon: Hangul 2: Six starting vowels</t>
  </si>
  <si>
    <t xml:space="preserve">Korean day: Hangul 3: The y-vowels</t>
  </si>
  <si>
    <t xml:space="preserve">Morning: Hangul 3: The y-vowels
Afternoon: Hangul 4: Nine starting consonants</t>
  </si>
  <si>
    <t xml:space="preserve">Foundation 2: sentence patterns + Foundation 3: pronouns &amp; prepositions</t>
  </si>
  <si>
    <t xml:space="preserve">Morning: Foundation 2: sentence patterns
Afternoon: Foundation 3: pronouns &amp; prepositions</t>
  </si>
  <si>
    <t xml:space="preserve">Foundation 4: tenses + Foundation 5: conjunctions &amp; joining sentences</t>
  </si>
  <si>
    <t xml:space="preserve">Morning: Foundation 4: tenses
Afternoon: Foundation 5: conjunctions &amp; joining sentences</t>
  </si>
  <si>
    <t xml:space="preserve">Home &amp; my town (grammar, writing &amp; speaking)</t>
  </si>
  <si>
    <t xml:space="preserve">Morning: Home &amp; my town (grammar, writing &amp; speaking)</t>
  </si>
  <si>
    <t xml:space="preserve">Afternoon: Hangul 5: Air and consonants</t>
  </si>
  <si>
    <t xml:space="preserve">Food &amp; shopping (grammar, writing &amp; speaking)</t>
  </si>
  <si>
    <t xml:space="preserve">Morning: Food &amp; shopping (grammar, writing &amp; speaking)</t>
  </si>
  <si>
    <t xml:space="preserve">Afternoon: Hangul 6: Tense consonants</t>
  </si>
  <si>
    <t xml:space="preserve">Home &amp; my town (reading &amp; listening)</t>
  </si>
  <si>
    <t xml:space="preserve">Afternoon: Home &amp; my town (reading &amp; listening)</t>
  </si>
  <si>
    <t xml:space="preserve">Morning: Review: Hangul 1 to 6 + writing practice</t>
  </si>
  <si>
    <t xml:space="preserve">Now and last weekend (grammar, writing &amp; speaking)</t>
  </si>
  <si>
    <t xml:space="preserve">Morning: Now and last weekend (grammar, writing &amp; speaking)</t>
  </si>
  <si>
    <t xml:space="preserve">Afternoon: Hangul 7: Eleven more vowels</t>
  </si>
  <si>
    <t xml:space="preserve">Food &amp; shopping (reading &amp; listening)</t>
  </si>
  <si>
    <t xml:space="preserve">Afternoon: Food &amp; shopping (reading &amp; listening)</t>
  </si>
  <si>
    <t xml:space="preserve">Morning: Hangul 8: Build and write blocks</t>
  </si>
  <si>
    <t xml:space="preserve">Now and last weekend (reading &amp; listening)</t>
  </si>
  <si>
    <t xml:space="preserve">Afternoon: Now and last weekend (reading &amp; listening)</t>
  </si>
  <si>
    <t xml:space="preserve">Morning: Hangul 9: Final consonants: batchim</t>
  </si>
  <si>
    <t xml:space="preserve">Yesterday &amp; school (reading &amp; listening)</t>
  </si>
  <si>
    <t xml:space="preserve">Afternoon: Yesterday &amp; school (reading &amp; listening)</t>
  </si>
  <si>
    <t xml:space="preserve">Morning: Hangul 10: Link sounds between blocks</t>
  </si>
  <si>
    <t xml:space="preserve">Yesterday &amp; school (grammar, writing &amp; speaking)</t>
  </si>
  <si>
    <t xml:space="preserve">Morning: Yesterday &amp; school (grammar, writing &amp; speaking)</t>
  </si>
  <si>
    <t xml:space="preserve">Afternoon: Hangul 11: Double finals and sound changes</t>
  </si>
  <si>
    <t xml:space="preserve">Mid-programme English test (part A) + Mid-programme English test (part B)</t>
  </si>
  <si>
    <t xml:space="preserve">Morning: Mid-programme English test (part A)
Afternoon: Mid-programme English test (part B)</t>
  </si>
  <si>
    <t xml:space="preserve">Korean day: Hangul 12: Read words and sentences</t>
  </si>
  <si>
    <t xml:space="preserve">Morning: Hangul 12: Read words and sentences
Afternoon: Mid-programme Korean check (Hangul)</t>
  </si>
  <si>
    <t xml:space="preserve">Travel &amp; health (grammar, writing &amp; speaking)</t>
  </si>
  <si>
    <t xml:space="preserve">Morning: Travel &amp; health (grammar, writing &amp; speaking)</t>
  </si>
  <si>
    <t xml:space="preserve">Afternoon: Beginner 1 lesson 1: Greetings &amp; introductions</t>
  </si>
  <si>
    <t xml:space="preserve">Travel &amp; health (reading &amp; listening)</t>
  </si>
  <si>
    <t xml:space="preserve">Afternoon: Travel &amp; health (reading &amp; listening)</t>
  </si>
  <si>
    <t xml:space="preserve">Morning: Beginner 1 lesson 2: What is this?</t>
  </si>
  <si>
    <t xml:space="preserve">Review: travel &amp; health, past tense</t>
  </si>
  <si>
    <t xml:space="preserve">Afternoon: Review: travel &amp; health, past tense</t>
  </si>
  <si>
    <t xml:space="preserve">Morning: Beginner 1 lesson 3: Where is it?</t>
  </si>
  <si>
    <t xml:space="preserve">English: General English &gt; Learn, revise this week's lessons. Korean: practise "Beginner 1 lesson 3: Where is it?" on the Korean site.</t>
  </si>
  <si>
    <t xml:space="preserve">Plans &amp; careers (reading &amp; listening)</t>
  </si>
  <si>
    <t xml:space="preserve">Afternoon: Plans &amp; careers (reading &amp; listening)</t>
  </si>
  <si>
    <t xml:space="preserve">Morning: Beginner 1 lesson 4: My everyday actions</t>
  </si>
  <si>
    <t xml:space="preserve">Plans &amp; careers (grammar, writing &amp; speaking)</t>
  </si>
  <si>
    <t xml:space="preserve">Morning: Plans &amp; careers (grammar, writing &amp; speaking)</t>
  </si>
  <si>
    <t xml:space="preserve">Afternoon: Beginner 1 lesson 5: Places &amp; going out</t>
  </si>
  <si>
    <t xml:space="preserve">Studying in Korea (grammar, writing &amp; speaking)</t>
  </si>
  <si>
    <t xml:space="preserve">Morning: Studying in Korea (grammar, writing &amp; speaking)</t>
  </si>
  <si>
    <t xml:space="preserve">Afternoon: Beginner 1 lesson 6: Numbers &amp; prices</t>
  </si>
  <si>
    <t xml:space="preserve">Studying in Korea (reading &amp; listening)</t>
  </si>
  <si>
    <t xml:space="preserve">Afternoon: Studying in Korea (reading &amp; listening)</t>
  </si>
  <si>
    <t xml:space="preserve">Morning: Review: Beginner 1 lessons 1 to 6</t>
  </si>
  <si>
    <t xml:space="preserve">Emails &amp; goals (grammar, writing &amp; speaking)</t>
  </si>
  <si>
    <t xml:space="preserve">Morning: Emails &amp; goals (grammar, writing &amp; speaking)</t>
  </si>
  <si>
    <t xml:space="preserve">Afternoon: Beginner 1 lesson 7: Shopping &amp; quantities</t>
  </si>
  <si>
    <t xml:space="preserve">Emails &amp; goals (reading &amp; listening)</t>
  </si>
  <si>
    <t xml:space="preserve">Afternoon: Emails &amp; goals (reading &amp; listening)</t>
  </si>
  <si>
    <t xml:space="preserve">Morning: Beginner 1 lesson 8: Time &amp; routines</t>
  </si>
  <si>
    <t xml:space="preserve">The scholarship interview (reading &amp; listening)</t>
  </si>
  <si>
    <t xml:space="preserve">Afternoon: The scholarship interview (reading &amp; listening)</t>
  </si>
  <si>
    <t xml:space="preserve">Morning: Beginner 1 lesson 9: What I do &amp; do not do</t>
  </si>
  <si>
    <t xml:space="preserve">Review: interview language</t>
  </si>
  <si>
    <t xml:space="preserve">Afternoon: Review: interview language</t>
  </si>
  <si>
    <t xml:space="preserve">Morning: Beginner 1 lesson 10: What I did yesterday</t>
  </si>
  <si>
    <t xml:space="preserve">English: General English &gt; Learn, revise this week's lessons. Korean: practise "Beginner 1 lesson 10: What I did yesterday" on the Korean site.</t>
  </si>
  <si>
    <t xml:space="preserve">The scholarship interview (grammar, writing &amp; speaking)</t>
  </si>
  <si>
    <t xml:space="preserve">Morning: The scholarship interview (grammar, writing &amp; speaking)</t>
  </si>
  <si>
    <t xml:space="preserve">Afternoon: Beginner 1 lesson 11: What I want to do</t>
  </si>
  <si>
    <t xml:space="preserve">Final English test (part A) + Final test listening + final mock interviews</t>
  </si>
  <si>
    <t xml:space="preserve">Morning: Final English test (part A)
Afternoon: Final test listening + final mock interviews</t>
  </si>
  <si>
    <t xml:space="preserve">Korean day: Beginner 1 lesson 12: Put it all together</t>
  </si>
  <si>
    <t xml:space="preserve">Morning: Beginner 1 lesson 12: Put it all together
Afternoon: Final Korean test</t>
  </si>
  <si>
    <t xml:space="preserve">Final English presentations</t>
  </si>
  <si>
    <t xml:space="preserve">Morning: Final English presentations</t>
  </si>
  <si>
    <t xml:space="preserve">Afternoon: Korean self-introduction (graduation speech practice)</t>
  </si>
  <si>
    <t xml:space="preserve">Anna. Wed, Thu &amp; Sat 9:00 to 12:00: grammar &amp; writing, speaking, mid and final tests, final presentations (12 days) · Confirmed</t>
  </si>
  <si>
    <t xml:space="preserve">Sessions:</t>
  </si>
  <si>
    <t xml:space="preserve">Hours:</t>
  </si>
  <si>
    <t xml:space="preserve">One row per session. Hours = start to finish, including the tea break.</t>
  </si>
  <si>
    <t xml:space="preserve">What happens in this session</t>
  </si>
  <si>
    <t xml:space="preserve">Morning</t>
  </si>
  <si>
    <t xml:space="preserve">9:00 to 10:30  English: Grammar &amp; writing
10:45 to 12:00  English: Speaking</t>
  </si>
  <si>
    <t xml:space="preserve">9:00 to 10:30  Mid-programme English test: language &amp; reading
10:45 to 12:00  Mid-programme English test: writing</t>
  </si>
  <si>
    <t xml:space="preserve">9:00 to 10:30  Final English test: language &amp; reading
10:45 to 12:00  Final English test: writing</t>
  </si>
  <si>
    <t xml:space="preserve">9:00 to 10:30  Final English presentations (part 1)
10:45 to 12:00  Final English presentations (part 2) + programme review</t>
  </si>
  <si>
    <t xml:space="preserve">Week 1 grammar foundation + all mock interviews. Free Mon morning, Tue all day, Wed &amp; Thu daytime. Not Saturdays, no evenings · Confirmed</t>
  </si>
  <si>
    <t xml:space="preserve">One row per session. Hours = start to finish, including the tea break. Mock interviews run in a side room during Teacher 3's afternoon.</t>
  </si>
  <si>
    <t xml:space="preserve">Afternoon</t>
  </si>
  <si>
    <t xml:space="preserve">1:00 to 2:00  Placement part 4: speaking (one by one)
2:15 to 4:30  Foundation 1: parts of speech</t>
  </si>
  <si>
    <t xml:space="preserve">English class + Test / interview</t>
  </si>
  <si>
    <t xml:space="preserve">8:30 to 10:00  Foundation 2: sentence patterns (part 1)
10:15 to 11:30  Foundation 2: sentence patterns (part 2: practice)</t>
  </si>
  <si>
    <t xml:space="preserve">8:30 to 10:00  Foundation 4: tenses (part 1)
10:15 to 11:30  Foundation 4: tenses (part 2: practice)</t>
  </si>
  <si>
    <t xml:space="preserve">1:00 to 2:30  Foundation 5: conjunctions &amp; joining sentences (part 1)
2:45 to 3:30  Foundation 5: conjunctions &amp; joining sentences (part 2: practice)
3:30 to 4:30  IT lab: English practice</t>
  </si>
  <si>
    <t xml:space="preserve">English class + IT lab</t>
  </si>
  <si>
    <t xml:space="preserve">1:00 to 4:30  Mock scholarship interview round 1 (side room)</t>
  </si>
  <si>
    <t xml:space="preserve">1:00 to 4:30  Mock scholarship interview round 2 (side room)</t>
  </si>
  <si>
    <t xml:space="preserve">1:00 to 4:30  Mock scholarship interview round 3 (side room)</t>
  </si>
  <si>
    <t xml:space="preserve">2:15 to 4:30  Final mock interviews (counts as the final speaking test)</t>
  </si>
  <si>
    <t xml:space="preserve">English afternoons 1:00 to 4:30: reading, vocabulary, listening &amp; IT lab · Confirmed</t>
  </si>
  <si>
    <t xml:space="preserve">1:00 to 2:30  Foundation 3: pronouns &amp; prepositions (part 1)
2:45 to 3:30  Foundation 3: pronouns &amp; prepositions (part 2: practice)
3:30 to 4:30  IT lab: English practice</t>
  </si>
  <si>
    <t xml:space="preserve">1:00 to 2:00  English: Reading &amp; vocabulary
2:15 to 3:15  English: Listening
3:30 to 4:30  IT lab: English practice</t>
  </si>
  <si>
    <t xml:space="preserve">1:00 to 2:00  Mid-programme English test: listening
2:15 to 4:30  Mid-programme test: speaking (one by one) + IT lab review</t>
  </si>
  <si>
    <t xml:space="preserve">1:00 to 2:30  English: Review &amp; extra practice
2:45 to 3:30  English: Speaking practice in pairs
3:30 to 4:30  IT lab: English practice</t>
  </si>
  <si>
    <t xml:space="preserve">1:00 to 2:00  Final English test: listening</t>
  </si>
  <si>
    <t xml:space="preserve">Cover teacher if someone cannot come · To be confirmed</t>
  </si>
  <si>
    <t xml:space="preserve">Korean mornings (staff) · Confirmed</t>
  </si>
  <si>
    <t xml:space="preserve">8:30 to 10:00  Korean: Hangul 1: alphabet warm-up + How Hangul works
10:15 to 11:30  Korean practice: Hangul 1: alphabet warm-up + How Hangul works</t>
  </si>
  <si>
    <t xml:space="preserve">8:30 to 10:00  Korean: Hangul 3: The y-vowels
10:15 to 11:30  Korean practice: Hangul 3: The y-vowels</t>
  </si>
  <si>
    <t xml:space="preserve">8:30 to 10:00  Korean: Review: Hangul 1 to 6 + writing practice
10:15 to 11:30  Korean practice: Review: Hangul 1 to 6 + writing practice</t>
  </si>
  <si>
    <t xml:space="preserve">8:30 to 10:00  Korean: Hangul 8: Build and write blocks
10:15 to 11:30  Korean practice: Hangul 8: Build and write blocks</t>
  </si>
  <si>
    <t xml:space="preserve">8:30 to 10:00  Korean: Hangul 9: Final consonants: batchim
10:15 to 11:30  Korean practice: Hangul 9: Final consonants: batchim</t>
  </si>
  <si>
    <t xml:space="preserve">8:30 to 10:00  Korean: Hangul 10: Link sounds between blocks
10:15 to 11:30  Korean practice: Hangul 10: Link sounds between blocks</t>
  </si>
  <si>
    <t xml:space="preserve">8:30 to 10:00  Korean: Hangul 12: Read words and sentences
10:15 to 11:30  Korean practice: Hangul 12: Read words and sentences</t>
  </si>
  <si>
    <t xml:space="preserve">8:30 to 10:00  Korean: Beginner 1 lesson 2: What is this?
10:15 to 11:30  Korean practice: Beginner 1 lesson 2: What is this?</t>
  </si>
  <si>
    <t xml:space="preserve">8:30 to 10:00  Korean: Beginner 1 lesson 3: Where is it?
10:15 to 11:30  Korean practice: Beginner 1 lesson 3: Where is it?</t>
  </si>
  <si>
    <t xml:space="preserve">8:30 to 10:00  Korean: Beginner 1 lesson 4: My everyday actions
10:15 to 11:30  Korean practice: Beginner 1 lesson 4: My everyday actions</t>
  </si>
  <si>
    <t xml:space="preserve">8:30 to 10:00  Korean: Review: Beginner 1 lessons 1 to 6
10:15 to 11:30  Korean practice: Review: Beginner 1 lessons 1 to 6</t>
  </si>
  <si>
    <t xml:space="preserve">8:30 to 10:00  Korean: Beginner 1 lesson 8: Time &amp; routines
10:15 to 11:30  Korean practice: Beginner 1 lesson 8: Time &amp; routines</t>
  </si>
  <si>
    <t xml:space="preserve">8:30 to 10:00  Korean: Beginner 1 lesson 9: What I do &amp; do not do
10:15 to 11:30  Korean practice: Beginner 1 lesson 9: What I do &amp; do not do</t>
  </si>
  <si>
    <t xml:space="preserve">8:30 to 10:00  Korean: Beginner 1 lesson 10: What I did yesterday
10:15 to 11:30  Korean practice: Beginner 1 lesson 10: What I did yesterday</t>
  </si>
  <si>
    <t xml:space="preserve">8:30 to 10:00  Korean: Beginner 1 lesson 12: Put it all together
10:15 to 11:30  Korean practice: Beginner 1 lesson 12: Put it all together</t>
  </si>
  <si>
    <t xml:space="preserve">Korean afternoons &amp; Korean IT lab (staff) · Confirmed</t>
  </si>
  <si>
    <t xml:space="preserve">1:00 to 2:30  Korean: Hangul 2: Six starting vowels
2:45 to 3:30  Korean practice: Hangul 2: Six starting vowels
3:30 to 4:30  IT lab: Korean practice</t>
  </si>
  <si>
    <t xml:space="preserve">IT lab + Korean class</t>
  </si>
  <si>
    <t xml:space="preserve">1:00 to 2:30  Korean: Hangul 4: Nine starting consonants
2:45 to 3:30  Korean practice: Hangul 4: Nine starting consonants
3:30 to 4:30  IT lab: Korean practice</t>
  </si>
  <si>
    <t xml:space="preserve">1:00 to 2:30  Korean: Hangul 5: Air and consonants
2:45 to 3:30  Korean practice: Hangul 5: Air and consonants
3:30 to 4:30  IT lab: Korean practice</t>
  </si>
  <si>
    <t xml:space="preserve">1:00 to 2:30  Korean: Hangul 6: Tense consonants
2:45 to 3:30  Korean practice: Hangul 6: Tense consonants
3:30 to 4:30  IT lab: Korean practice</t>
  </si>
  <si>
    <t xml:space="preserve">1:00 to 2:30  Korean: Hangul 7: Eleven more vowels
2:45 to 3:30  Korean practice: Hangul 7: Eleven more vowels
3:30 to 4:30  IT lab: Korean practice</t>
  </si>
  <si>
    <t xml:space="preserve">1:00 to 2:30  Korean: Hangul 11: Double finals and sound changes
2:45 to 3:30  Korean practice: Hangul 11: Double finals and sound changes
3:30 to 4:30  IT lab: Korean practice</t>
  </si>
  <si>
    <t xml:space="preserve">1:00 to 2:30  Korean: Mid-programme Korean check (Hangul)
2:45 to 3:30  Mid-programme Korean check (Hangul) (continued)
3:30 to 4:30  IT lab: Korean practice</t>
  </si>
  <si>
    <t xml:space="preserve">IT lab + Test / interview</t>
  </si>
  <si>
    <t xml:space="preserve">1:00 to 2:30  Korean: Beginner 1 lesson 1: Greetings &amp; introductions
2:45 to 3:30  Korean practice: Beginner 1 lesson 1: Greetings &amp; introductions
3:30 to 4:30  IT lab: Korean practice</t>
  </si>
  <si>
    <t xml:space="preserve">1:00 to 2:30  Korean: Beginner 1 lesson 5: Places &amp; going out
2:45 to 3:30  Korean practice: Beginner 1 lesson 5: Places &amp; going out
3:30 to 4:30  IT lab: Korean practice</t>
  </si>
  <si>
    <t xml:space="preserve">1:00 to 2:30  Korean: Beginner 1 lesson 6: Numbers &amp; prices
2:45 to 3:30  Korean practice: Beginner 1 lesson 6: Numbers &amp; prices
3:30 to 4:30  IT lab: Korean practice</t>
  </si>
  <si>
    <t xml:space="preserve">1:00 to 2:30  Korean: Beginner 1 lesson 7: Shopping &amp; quantities
2:45 to 3:30  Korean practice: Beginner 1 lesson 7: Shopping &amp; quantities
3:30 to 4:30  IT lab: Korean practice</t>
  </si>
  <si>
    <t xml:space="preserve">1:00 to 2:30  Korean: Beginner 1 lesson 11: What I want to do
2:45 to 3:30  Korean practice: Beginner 1 lesson 11: What I want to do
3:30 to 4:30  IT lab: Korean practice</t>
  </si>
  <si>
    <t xml:space="preserve">1:00 to 2:30  Korean: Final Korean test
2:45 to 3:30  Final Korean test (continued)
3:30 to 4:30  IT lab: Korean practice</t>
  </si>
  <si>
    <t xml:space="preserve">1:00 to 2:30  Korean: Korean self-introduction (graduation speech practice)
2:45 to 3:30  Korean practice: Korean self-introduction (graduation speech practice)
3:30 to 4:30  IT lab: Korean practice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</si>
</sst>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.0%"/>
    <numFmt numFmtId="167" formatCode="0"/>
    <numFmt numFmtId="168" formatCode="#,##0;\(#,##0\);\-"/>
    <numFmt numFmtId="169" formatCode="0%;\(0%\);\-"/>
    <numFmt numFmtId="170" formatCode="dd\ mmm\ yyyy"/>
    <numFmt numFmtId="171" formatCode="h:mm\ AM/PM"/>
    <numFmt numFmtId="172" formatCode="0.00"/>
    <numFmt numFmtId="173" formatCode="ddd\ dd\ m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276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B6780"/>
      <name val="Arial"/>
      <family val="0"/>
      <charset val="1"/>
    </font>
    <font>
      <sz val="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2761"/>
        <bgColor rgb="FF000080"/>
      </patternFill>
    </fill>
    <fill>
      <patternFill patternType="solid">
        <fgColor rgb="FFE3EEFF"/>
        <bgColor rgb="FFF1F5F9"/>
      </patternFill>
    </fill>
    <fill>
      <patternFill patternType="solid">
        <fgColor rgb="FFFCE7F3"/>
        <bgColor rgb="FFF3E8FF"/>
      </patternFill>
    </fill>
    <fill>
      <patternFill patternType="solid">
        <fgColor rgb="FFECFDF5"/>
        <bgColor rgb="FFF1F5F9"/>
      </patternFill>
    </fill>
    <fill>
      <patternFill patternType="solid">
        <fgColor rgb="FFFFFBEB"/>
        <bgColor rgb="FFFFFFFF"/>
      </patternFill>
    </fill>
    <fill>
      <patternFill patternType="solid">
        <fgColor rgb="FFF3E8FF"/>
        <bgColor rgb="FFFCE7F3"/>
      </patternFill>
    </fill>
    <fill>
      <patternFill patternType="solid">
        <fgColor rgb="FFF1F5F9"/>
        <bgColor rgb="FFECFD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0056D2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D30A28"/>
        <sz val="10"/>
      </font>
    </dxf>
    <dxf>
      <fill>
        <patternFill patternType="solid">
          <fgColor rgb="FF00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EFF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CE7F3"/>
          <bgColor rgb="FF000000"/>
        </patternFill>
      </fill>
    </dxf>
    <dxf>
      <fill>
        <patternFill patternType="solid">
          <fgColor rgb="FFFFFBEB"/>
          <bgColor rgb="FF000000"/>
        </patternFill>
      </fill>
    </dxf>
  </dxfs>
  <colors>
    <indexedColors>
      <rgbColor rgb="FF000000"/>
      <rgbColor rgb="FFFFFFFF"/>
      <rgbColor rgb="FFD30A2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56D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F"/>
      <rgbColor rgb="FFF1F5F9"/>
      <rgbColor rgb="FFFCE7F3"/>
      <rgbColor rgb="FF99CCFF"/>
      <rgbColor rgb="FFFF99CC"/>
      <rgbColor rgb="FFCC99FF"/>
      <rgbColor rgb="FFF3E8FF"/>
      <rgbColor rgb="FF3366FF"/>
      <rgbColor rgb="FF33CCCC"/>
      <rgbColor rgb="FF99CC00"/>
      <rgbColor rgb="FFFFCC00"/>
      <rgbColor rgb="FFFF9900"/>
      <rgbColor rgb="FFFF6600"/>
      <rgbColor rgb="FF5B6780"/>
      <rgbColor rgb="FF969696"/>
      <rgbColor rgb="FF002761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lendar" displayName="Calendar" ref="A1:M269" headerRowCount="1" totalsRowCount="0" totalsRowShown="0">
  <autoFilter ref="A1:M269"/>
  <tableColumns count="13">
    <tableColumn id="1" name="Day"/>
    <tableColumn id="2" name="Date"/>
    <tableColumn id="3" name="Weekday"/>
    <tableColumn id="4" name="Week"/>
    <tableColumn id="5" name="Start"/>
    <tableColumn id="6" name="End"/>
    <tableColumn id="7" name="Time"/>
    <tableColumn id="8" name="Hours"/>
    <tableColumn id="9" name="Session"/>
    <tableColumn id="10" name="Type"/>
    <tableColumn id="11" name="Language"/>
    <tableColumn id="12" name="Teacher"/>
    <tableColumn id="13" name="Detail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</row>
    <row r="7" customFormat="false" ht="15" hidden="false" customHeight="false" outlineLevel="0" collapsed="false">
      <c r="A7" s="5" t="s">
        <v>7</v>
      </c>
      <c r="B7" s="6" t="n">
        <f aca="false">SUMIFS(Calendar!$H:$H,Calendar!$K:$K,"English")</f>
        <v>105</v>
      </c>
      <c r="C7" s="7" t="n">
        <f aca="false">IFERROR(B7/SUM($B$7:$B$8),0)</f>
        <v>0.547588005215124</v>
      </c>
    </row>
    <row r="8" customFormat="false" ht="15" hidden="false" customHeight="false" outlineLevel="0" collapsed="false">
      <c r="A8" s="5" t="s">
        <v>8</v>
      </c>
      <c r="B8" s="6" t="n">
        <f aca="false">SUMIFS(Calendar!$H:$H,Calendar!$K:$K,"Korean")</f>
        <v>86.75</v>
      </c>
      <c r="C8" s="7" t="n">
        <f aca="false">IFERROR(B8/SUM($B$7:$B$8),0)</f>
        <v>0.452411994784876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5" t="s">
        <v>18</v>
      </c>
      <c r="D12" s="5" t="n">
        <f aca="false">COUNTIFS(Calendar!$L:$L,A12)</f>
        <v>24</v>
      </c>
      <c r="E12" s="6" t="n">
        <f aca="false">SUMIFS(Calendar!$H:$H,Calendar!$L:$L,A12)</f>
        <v>33</v>
      </c>
      <c r="F12" s="6" t="n">
        <f aca="false">E12/30</f>
        <v>1.1</v>
      </c>
    </row>
    <row r="13" customFormat="false" ht="15" hidden="false" customHeight="false" outlineLevel="0" collapsed="false">
      <c r="A13" s="5" t="s">
        <v>19</v>
      </c>
      <c r="B13" s="5" t="s">
        <v>20</v>
      </c>
      <c r="C13" s="5" t="s">
        <v>18</v>
      </c>
      <c r="D13" s="5" t="n">
        <f aca="false">COUNTIFS(Calendar!$L:$L,A13)</f>
        <v>13</v>
      </c>
      <c r="E13" s="6" t="n">
        <f aca="false">SUMIFS(Calendar!$H:$H,Calendar!$L:$L,A13)</f>
        <v>24.75</v>
      </c>
      <c r="F13" s="6" t="n">
        <f aca="false">E13/30</f>
        <v>0.825</v>
      </c>
    </row>
    <row r="14" customFormat="false" ht="15" hidden="false" customHeight="false" outlineLevel="0" collapsed="false">
      <c r="A14" s="5" t="s">
        <v>21</v>
      </c>
      <c r="B14" s="5" t="s">
        <v>22</v>
      </c>
      <c r="C14" s="5" t="s">
        <v>18</v>
      </c>
      <c r="D14" s="5" t="n">
        <f aca="false">COUNTIFS(Calendar!$L:$L,A14)</f>
        <v>39</v>
      </c>
      <c r="E14" s="6" t="n">
        <f aca="false">SUMIFS(Calendar!$H:$H,Calendar!$L:$L,A14)</f>
        <v>41</v>
      </c>
      <c r="F14" s="6" t="n">
        <f aca="false">E14/30</f>
        <v>1.36666666666667</v>
      </c>
    </row>
    <row r="15" customFormat="false" ht="15" hidden="false" customHeight="false" outlineLevel="0" collapsed="false">
      <c r="A15" s="5" t="s">
        <v>23</v>
      </c>
      <c r="B15" s="5" t="s">
        <v>24</v>
      </c>
      <c r="C15" s="5" t="s">
        <v>25</v>
      </c>
      <c r="D15" s="5" t="n">
        <f aca="false">COUNTIFS(Calendar!$L:$L,A15)</f>
        <v>0</v>
      </c>
      <c r="E15" s="6" t="n">
        <f aca="false">SUMIFS(Calendar!$H:$H,Calendar!$L:$L,A15)</f>
        <v>0</v>
      </c>
      <c r="F15" s="6" t="n">
        <f aca="false">E15/30</f>
        <v>0</v>
      </c>
    </row>
    <row r="16" customFormat="false" ht="15" hidden="false" customHeight="false" outlineLevel="0" collapsed="false">
      <c r="A16" s="5" t="s">
        <v>26</v>
      </c>
      <c r="B16" s="5" t="s">
        <v>27</v>
      </c>
      <c r="C16" s="5" t="s">
        <v>18</v>
      </c>
      <c r="D16" s="5" t="n">
        <f aca="false">COUNTIFS(Calendar!$L:$L,A16)</f>
        <v>30</v>
      </c>
      <c r="E16" s="6" t="n">
        <f aca="false">SUMIFS(Calendar!$H:$H,Calendar!$L:$L,A16)</f>
        <v>41.25</v>
      </c>
      <c r="F16" s="6" t="n">
        <f aca="false">E16/30</f>
        <v>1.375</v>
      </c>
    </row>
    <row r="17" customFormat="false" ht="15" hidden="false" customHeight="false" outlineLevel="0" collapsed="false">
      <c r="A17" s="5" t="s">
        <v>28</v>
      </c>
      <c r="B17" s="5" t="s">
        <v>29</v>
      </c>
      <c r="C17" s="5" t="s">
        <v>18</v>
      </c>
      <c r="D17" s="5" t="n">
        <f aca="false">COUNTIFS(Calendar!$L:$L,A17)</f>
        <v>42</v>
      </c>
      <c r="E17" s="6" t="n">
        <f aca="false">SUMIFS(Calendar!$H:$H,Calendar!$L:$L,A17)</f>
        <v>45.5</v>
      </c>
      <c r="F17" s="6" t="n">
        <f aca="false">E17/30</f>
        <v>1.51666666666667</v>
      </c>
    </row>
    <row r="20" customFormat="false" ht="15" hidden="false" customHeight="false" outlineLevel="0" collapsed="false">
      <c r="A20" s="3" t="s">
        <v>30</v>
      </c>
    </row>
    <row r="21" customFormat="false" ht="15" hidden="false" customHeight="false" outlineLevel="0" collapsed="false">
      <c r="A21" s="8" t="s">
        <v>31</v>
      </c>
    </row>
    <row r="22" customFormat="false" ht="15" hidden="false" customHeight="false" outlineLevel="0" collapsed="false">
      <c r="A22" s="9" t="s">
        <v>32</v>
      </c>
    </row>
    <row r="23" customFormat="false" ht="15" hidden="false" customHeight="false" outlineLevel="0" collapsed="false">
      <c r="A23" s="10" t="s">
        <v>33</v>
      </c>
    </row>
    <row r="24" customFormat="false" ht="15" hidden="false" customHeight="false" outlineLevel="0" collapsed="false">
      <c r="A24" s="11" t="s">
        <v>34</v>
      </c>
    </row>
    <row r="25" customFormat="false" ht="15" hidden="false" customHeight="false" outlineLevel="0" collapsed="false">
      <c r="A25" s="12" t="s">
        <v>35</v>
      </c>
    </row>
    <row r="26" customFormat="false" ht="15" hidden="false" customHeight="false" outlineLevel="0" collapsed="false">
      <c r="A26" s="13" t="s">
        <v>36</v>
      </c>
    </row>
    <row r="27" customFormat="false" ht="15" hidden="false" customHeight="false" outlineLevel="0" collapsed="false">
      <c r="A27" s="13" t="s">
        <v>37</v>
      </c>
    </row>
    <row r="29" customFormat="false" ht="15" hidden="false" customHeight="false" outlineLevel="0" collapsed="false">
      <c r="A29" s="3" t="s">
        <v>38</v>
      </c>
    </row>
    <row r="30" customFormat="false" ht="15" hidden="false" customHeight="false" outlineLevel="0" collapsed="false">
      <c r="A30" s="14" t="s">
        <v>39</v>
      </c>
    </row>
    <row r="31" customFormat="false" ht="15" hidden="false" customHeight="false" outlineLevel="0" collapsed="false">
      <c r="A31" s="14" t="s">
        <v>40</v>
      </c>
    </row>
    <row r="32" customFormat="false" ht="15" hidden="false" customHeight="false" outlineLevel="0" collapsed="false">
      <c r="A32" s="14" t="s">
        <v>41</v>
      </c>
    </row>
    <row r="33" customFormat="false" ht="15" hidden="false" customHeight="false" outlineLevel="0" collapsed="false">
      <c r="A33" s="14" t="s">
        <v>42</v>
      </c>
    </row>
    <row r="34" customFormat="false" ht="15" hidden="false" customHeight="false" outlineLevel="0" collapsed="false">
      <c r="A34" s="1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3" t="s">
        <v>46</v>
      </c>
    </row>
    <row r="5" customFormat="false" ht="15" hidden="false" customHeight="false" outlineLevel="0" collapsed="false">
      <c r="A5" s="4" t="s">
        <v>47</v>
      </c>
      <c r="B5" s="4" t="s">
        <v>48</v>
      </c>
      <c r="C5" s="4" t="s">
        <v>49</v>
      </c>
    </row>
    <row r="6" customFormat="false" ht="15" hidden="false" customHeight="false" outlineLevel="0" collapsed="false">
      <c r="A6" s="5" t="s">
        <v>50</v>
      </c>
      <c r="B6" s="15" t="n">
        <v>11</v>
      </c>
      <c r="C6" s="16" t="s">
        <v>51</v>
      </c>
      <c r="D6" s="16"/>
      <c r="E6" s="16"/>
      <c r="F6" s="16"/>
      <c r="G6" s="16"/>
      <c r="H6" s="16"/>
    </row>
    <row r="7" customFormat="false" ht="15" hidden="false" customHeight="false" outlineLevel="0" collapsed="false">
      <c r="A7" s="5" t="s">
        <v>52</v>
      </c>
      <c r="B7" s="17" t="n">
        <v>125000</v>
      </c>
      <c r="C7" s="16" t="s">
        <v>53</v>
      </c>
      <c r="D7" s="16"/>
      <c r="E7" s="16"/>
      <c r="F7" s="16"/>
      <c r="G7" s="16"/>
      <c r="H7" s="16"/>
    </row>
    <row r="8" customFormat="false" ht="15" hidden="false" customHeight="false" outlineLevel="0" collapsed="false">
      <c r="A8" s="5" t="s">
        <v>54</v>
      </c>
      <c r="B8" s="18" t="n">
        <f aca="false">B6*B7</f>
        <v>1375000</v>
      </c>
      <c r="C8" s="16"/>
    </row>
    <row r="9" customFormat="false" ht="15" hidden="false" customHeight="false" outlineLevel="0" collapsed="false">
      <c r="A9" s="5" t="s">
        <v>55</v>
      </c>
      <c r="B9" s="17" t="n">
        <v>25000</v>
      </c>
      <c r="C9" s="16" t="s">
        <v>56</v>
      </c>
      <c r="D9" s="16"/>
      <c r="E9" s="16"/>
      <c r="F9" s="16"/>
      <c r="G9" s="16"/>
      <c r="H9" s="16"/>
    </row>
    <row r="10" customFormat="false" ht="15" hidden="false" customHeight="false" outlineLevel="0" collapsed="false">
      <c r="A10" s="5" t="s">
        <v>57</v>
      </c>
      <c r="B10" s="18" t="n">
        <f aca="false">B6*B9</f>
        <v>275000</v>
      </c>
      <c r="C10" s="16"/>
    </row>
    <row r="11" customFormat="false" ht="15" hidden="false" customHeight="false" outlineLevel="0" collapsed="false">
      <c r="A11" s="19" t="s">
        <v>58</v>
      </c>
      <c r="B11" s="20" t="n">
        <f aca="false">B8-B10</f>
        <v>1100000</v>
      </c>
      <c r="C11" s="16" t="s">
        <v>59</v>
      </c>
      <c r="D11" s="16"/>
      <c r="E11" s="16"/>
      <c r="F11" s="16"/>
      <c r="G11" s="16"/>
      <c r="H11" s="16"/>
    </row>
    <row r="13" customFormat="false" ht="15" hidden="false" customHeight="false" outlineLevel="0" collapsed="false">
      <c r="A13" s="3" t="s">
        <v>60</v>
      </c>
    </row>
    <row r="14" customFormat="false" ht="15" hidden="false" customHeight="false" outlineLevel="0" collapsed="false">
      <c r="A14" s="4" t="s">
        <v>61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66</v>
      </c>
      <c r="G14" s="4" t="s">
        <v>67</v>
      </c>
    </row>
    <row r="15" customFormat="false" ht="15" hidden="false" customHeight="false" outlineLevel="0" collapsed="false">
      <c r="A15" s="5" t="s">
        <v>68</v>
      </c>
      <c r="B15" s="21" t="n">
        <v>0.1</v>
      </c>
      <c r="C15" s="18" t="n">
        <f aca="false">B15*$B$11</f>
        <v>110000</v>
      </c>
      <c r="D15" s="17" t="n">
        <v>100000</v>
      </c>
      <c r="E15" s="22" t="n">
        <f aca="false">SUMIFS(Spending!$D:$D,Spending!$B:$B,A15)</f>
        <v>0</v>
      </c>
      <c r="F15" s="18" t="n">
        <f aca="false">D15-E15</f>
        <v>100000</v>
      </c>
      <c r="G15" s="5" t="str">
        <f aca="false">IF(E15&gt;D15,"Overspent",IF(E15&gt;=0.9*D15,"Nearly used","OK"))</f>
        <v>OK</v>
      </c>
      <c r="H15" s="2" t="s">
        <v>69</v>
      </c>
    </row>
    <row r="16" customFormat="false" ht="15" hidden="false" customHeight="false" outlineLevel="0" collapsed="false">
      <c r="A16" s="5" t="s">
        <v>70</v>
      </c>
      <c r="B16" s="21" t="n">
        <v>0.4</v>
      </c>
      <c r="C16" s="18" t="n">
        <f aca="false">B16*$B$11</f>
        <v>440000</v>
      </c>
      <c r="D16" s="17" t="n">
        <v>400000</v>
      </c>
      <c r="E16" s="22" t="n">
        <f aca="false">SUMIFS(Spending!$D:$D,Spending!$B:$B,A16)</f>
        <v>0</v>
      </c>
      <c r="F16" s="18" t="n">
        <f aca="false">D16-E16</f>
        <v>400000</v>
      </c>
      <c r="G16" s="5" t="str">
        <f aca="false">IF(E16&gt;D16,"Overspent",IF(E16&gt;=0.9*D16,"Nearly used","OK"))</f>
        <v>OK</v>
      </c>
    </row>
    <row r="17" customFormat="false" ht="15" hidden="false" customHeight="false" outlineLevel="0" collapsed="false">
      <c r="A17" s="5" t="s">
        <v>71</v>
      </c>
      <c r="B17" s="21" t="n">
        <v>0.12</v>
      </c>
      <c r="C17" s="18" t="n">
        <f aca="false">B17*$B$11</f>
        <v>132000</v>
      </c>
      <c r="D17" s="17" t="n">
        <v>120000</v>
      </c>
      <c r="E17" s="22" t="n">
        <f aca="false">SUMIFS(Spending!$D:$D,Spending!$B:$B,A17)</f>
        <v>0</v>
      </c>
      <c r="F17" s="18" t="n">
        <f aca="false">D17-E17</f>
        <v>120000</v>
      </c>
      <c r="G17" s="5" t="str">
        <f aca="false">IF(E17&gt;D17,"Overspent",IF(E17&gt;=0.9*D17,"Nearly used","OK"))</f>
        <v>OK</v>
      </c>
    </row>
    <row r="18" customFormat="false" ht="15" hidden="false" customHeight="false" outlineLevel="0" collapsed="false">
      <c r="A18" s="5" t="s">
        <v>72</v>
      </c>
      <c r="B18" s="21" t="n">
        <v>0.1</v>
      </c>
      <c r="C18" s="18" t="n">
        <f aca="false">B18*$B$11</f>
        <v>110000</v>
      </c>
      <c r="D18" s="17" t="n">
        <v>100000</v>
      </c>
      <c r="E18" s="22" t="n">
        <f aca="false">SUMIFS(Spending!$D:$D,Spending!$B:$B,A18)</f>
        <v>0</v>
      </c>
      <c r="F18" s="18" t="n">
        <f aca="false">D18-E18</f>
        <v>100000</v>
      </c>
      <c r="G18" s="5" t="str">
        <f aca="false">IF(E18&gt;D18,"Overspent",IF(E18&gt;=0.9*D18,"Nearly used","OK"))</f>
        <v>OK</v>
      </c>
    </row>
    <row r="19" customFormat="false" ht="15" hidden="false" customHeight="false" outlineLevel="0" collapsed="false">
      <c r="A19" s="5" t="s">
        <v>73</v>
      </c>
      <c r="B19" s="21" t="n">
        <v>0.1</v>
      </c>
      <c r="C19" s="18" t="n">
        <f aca="false">B19*$B$11</f>
        <v>110000</v>
      </c>
      <c r="D19" s="17" t="n">
        <v>100000</v>
      </c>
      <c r="E19" s="22" t="n">
        <f aca="false">SUMIFS(Spending!$D:$D,Spending!$B:$B,A19)</f>
        <v>0</v>
      </c>
      <c r="F19" s="18" t="n">
        <f aca="false">D19-E19</f>
        <v>100000</v>
      </c>
      <c r="G19" s="5" t="str">
        <f aca="false">IF(E19&gt;D19,"Overspent",IF(E19&gt;=0.9*D19,"Nearly used","OK"))</f>
        <v>OK</v>
      </c>
    </row>
    <row r="20" customFormat="false" ht="15" hidden="false" customHeight="false" outlineLevel="0" collapsed="false">
      <c r="A20" s="5" t="s">
        <v>74</v>
      </c>
      <c r="B20" s="21" t="n">
        <v>0.3</v>
      </c>
      <c r="C20" s="18" t="n">
        <f aca="false">B20*$B$11</f>
        <v>330000</v>
      </c>
      <c r="D20" s="17" t="n">
        <v>300000</v>
      </c>
      <c r="E20" s="22" t="n">
        <f aca="false">SUMIFS(Spending!$D:$D,Spending!$B:$B,A20)</f>
        <v>18500</v>
      </c>
      <c r="F20" s="18" t="n">
        <f aca="false">D20-E20</f>
        <v>281500</v>
      </c>
      <c r="G20" s="5" t="str">
        <f aca="false">IF(E20&gt;D20,"Overspent",IF(E20&gt;=0.9*D20,"Nearly used","OK"))</f>
        <v>OK</v>
      </c>
    </row>
    <row r="21" customFormat="false" ht="15" hidden="false" customHeight="false" outlineLevel="0" collapsed="false">
      <c r="A21" s="19" t="s">
        <v>75</v>
      </c>
      <c r="B21" s="23" t="n">
        <f aca="false">SUM(B15:B20)</f>
        <v>1.12</v>
      </c>
      <c r="C21" s="20" t="n">
        <f aca="false">SUM(C15:C20)</f>
        <v>1232000</v>
      </c>
      <c r="D21" s="20" t="n">
        <f aca="false">SUM(D15:D20)</f>
        <v>1120000</v>
      </c>
      <c r="E21" s="20" t="n">
        <f aca="false">SUM(E15:E20)</f>
        <v>18500</v>
      </c>
      <c r="F21" s="20" t="n">
        <f aca="false">SUM(F15:F20)</f>
        <v>1101500</v>
      </c>
    </row>
    <row r="22" customFormat="false" ht="15" hidden="false" customHeight="false" outlineLevel="0" collapsed="false">
      <c r="A22" s="19" t="s">
        <v>76</v>
      </c>
      <c r="B22" s="19" t="str">
        <f aca="false">IF(ROUND(B21,4)=1,"Adds up to 100%","Adds up to "&amp;TEXT(B21,"0%")&amp;", not 100%")</f>
        <v>Adds up to 112%, not 100%</v>
      </c>
      <c r="C22" s="19"/>
      <c r="D22" s="19"/>
    </row>
    <row r="23" customFormat="false" ht="15" hidden="false" customHeight="false" outlineLevel="0" collapsed="false">
      <c r="A23" s="19" t="s">
        <v>77</v>
      </c>
      <c r="B23" s="20" t="n">
        <f aca="false">B11-D21</f>
        <v>-20000</v>
      </c>
      <c r="C23" s="2" t="s">
        <v>78</v>
      </c>
    </row>
    <row r="26" customFormat="false" ht="15" hidden="false" customHeight="false" outlineLevel="0" collapsed="false">
      <c r="A26" s="3" t="s">
        <v>79</v>
      </c>
    </row>
    <row r="27" customFormat="false" ht="23.85" hidden="false" customHeight="false" outlineLevel="0" collapsed="false">
      <c r="A27" s="4" t="s">
        <v>10</v>
      </c>
      <c r="B27" s="4" t="s">
        <v>80</v>
      </c>
      <c r="C27" s="4" t="s">
        <v>81</v>
      </c>
      <c r="D27" s="4" t="s">
        <v>82</v>
      </c>
      <c r="E27" s="4" t="s">
        <v>83</v>
      </c>
      <c r="F27" s="4" t="s">
        <v>67</v>
      </c>
      <c r="G27" s="4" t="s">
        <v>84</v>
      </c>
      <c r="H27" s="4" t="s">
        <v>49</v>
      </c>
      <c r="I27" s="4" t="s">
        <v>85</v>
      </c>
    </row>
    <row r="28" customFormat="false" ht="15" hidden="false" customHeight="false" outlineLevel="0" collapsed="false">
      <c r="A28" s="5" t="s">
        <v>16</v>
      </c>
      <c r="B28" s="24" t="s">
        <v>86</v>
      </c>
      <c r="C28" s="17" t="n">
        <v>5400</v>
      </c>
      <c r="D28" s="6" t="n">
        <f aca="false">IF(B28="Per hour",G28,IF(B28="Per month",$B$38,IF(B28="Per session",I28,0)))</f>
        <v>12</v>
      </c>
      <c r="E28" s="18" t="n">
        <f aca="false">IFERROR(C28*D28,0)</f>
        <v>64800</v>
      </c>
      <c r="F28" s="5" t="s">
        <v>87</v>
      </c>
      <c r="G28" s="25" t="n">
        <f aca="false">SUMIFS(Calendar!$H:$H,Calendar!$L:$L,A28)</f>
        <v>33</v>
      </c>
      <c r="H28" s="16" t="s">
        <v>88</v>
      </c>
      <c r="I28" s="26" t="n">
        <v>12</v>
      </c>
    </row>
    <row r="29" customFormat="false" ht="15" hidden="false" customHeight="false" outlineLevel="0" collapsed="false">
      <c r="A29" s="5" t="s">
        <v>89</v>
      </c>
      <c r="B29" s="24" t="s">
        <v>86</v>
      </c>
      <c r="C29" s="17" t="n">
        <v>2600</v>
      </c>
      <c r="D29" s="6" t="n">
        <f aca="false">IF(B29="Per hour",G29,IF(B29="Per month",$B$38,IF(B29="Per session",I29,0)))</f>
        <v>12</v>
      </c>
      <c r="E29" s="18" t="n">
        <f aca="false">IFERROR(C29*D29,0)</f>
        <v>31200</v>
      </c>
      <c r="F29" s="5" t="s">
        <v>87</v>
      </c>
      <c r="G29" s="25" t="n">
        <f aca="false">SUMIFS(Calendar!$H:$H,Calendar!$L:$L,A29)</f>
        <v>0</v>
      </c>
      <c r="H29" s="16" t="s">
        <v>90</v>
      </c>
      <c r="I29" s="26" t="n">
        <v>12</v>
      </c>
    </row>
    <row r="30" customFormat="false" ht="15" hidden="false" customHeight="false" outlineLevel="0" collapsed="false">
      <c r="A30" s="5" t="s">
        <v>19</v>
      </c>
      <c r="B30" s="24" t="s">
        <v>86</v>
      </c>
      <c r="C30" s="17" t="n">
        <v>6000</v>
      </c>
      <c r="D30" s="6" t="n">
        <f aca="false">IF(B30="Per hour",G30,IF(B30="Per month",$B$38,IF(B30="Per session",I30,0)))</f>
        <v>8</v>
      </c>
      <c r="E30" s="18" t="n">
        <f aca="false">IFERROR(C30*D30,0)</f>
        <v>48000</v>
      </c>
      <c r="F30" s="5" t="s">
        <v>91</v>
      </c>
      <c r="G30" s="25" t="n">
        <f aca="false">SUMIFS(Calendar!$H:$H,Calendar!$L:$L,A30)</f>
        <v>24.75</v>
      </c>
      <c r="H30" s="16" t="s">
        <v>92</v>
      </c>
      <c r="I30" s="26" t="n">
        <v>8</v>
      </c>
    </row>
    <row r="31" customFormat="false" ht="15" hidden="false" customHeight="false" outlineLevel="0" collapsed="false">
      <c r="A31" s="5" t="s">
        <v>21</v>
      </c>
      <c r="B31" s="24" t="s">
        <v>93</v>
      </c>
      <c r="C31" s="17" t="n">
        <v>55000</v>
      </c>
      <c r="D31" s="6" t="n">
        <f aca="false">IF(B31="Per hour",G31,IF(B31="Per month",$B$38,IF(B31="Per session",I31,0)))</f>
        <v>1</v>
      </c>
      <c r="E31" s="18" t="n">
        <f aca="false">IFERROR(C31*D31,0)</f>
        <v>55000</v>
      </c>
      <c r="F31" s="5" t="s">
        <v>12</v>
      </c>
      <c r="G31" s="25" t="n">
        <f aca="false">SUMIFS(Calendar!$H:$H,Calendar!$L:$L,A31)</f>
        <v>41</v>
      </c>
      <c r="H31" s="16" t="s">
        <v>94</v>
      </c>
      <c r="I31" s="26" t="n">
        <v>14</v>
      </c>
    </row>
    <row r="32" customFormat="false" ht="15" hidden="false" customHeight="false" outlineLevel="0" collapsed="false">
      <c r="A32" s="5" t="s">
        <v>23</v>
      </c>
      <c r="B32" s="24" t="s">
        <v>86</v>
      </c>
      <c r="C32" s="17" t="n">
        <v>5500</v>
      </c>
      <c r="D32" s="6" t="n">
        <f aca="false">IF(B32="Per hour",G32,IF(B32="Per month",$B$38,IF(B32="Per session",I32,0)))</f>
        <v>0</v>
      </c>
      <c r="E32" s="18" t="n">
        <f aca="false">IFERROR(C32*D32,0)</f>
        <v>0</v>
      </c>
      <c r="F32" s="5" t="s">
        <v>95</v>
      </c>
      <c r="G32" s="25" t="n">
        <f aca="false">SUMIFS(Calendar!$H:$H,Calendar!$L:$L,A32)</f>
        <v>0</v>
      </c>
      <c r="H32" s="16" t="s">
        <v>96</v>
      </c>
      <c r="I32" s="15" t="n">
        <v>0</v>
      </c>
    </row>
    <row r="33" customFormat="false" ht="15" hidden="false" customHeight="false" outlineLevel="0" collapsed="false">
      <c r="A33" s="5" t="s">
        <v>26</v>
      </c>
      <c r="B33" s="24" t="s">
        <v>97</v>
      </c>
      <c r="C33" s="17" t="n">
        <v>0</v>
      </c>
      <c r="D33" s="6" t="n">
        <f aca="false">IF(B33="Per hour",G33,IF(B33="Per month",$B$38,IF(B33="Per session",I33,0)))</f>
        <v>0</v>
      </c>
      <c r="E33" s="18" t="n">
        <f aca="false">IFERROR(C33*D33,0)</f>
        <v>0</v>
      </c>
      <c r="F33" s="5" t="s">
        <v>70</v>
      </c>
      <c r="G33" s="25" t="n">
        <f aca="false">SUMIFS(Calendar!$H:$H,Calendar!$L:$L,A33)</f>
        <v>41.25</v>
      </c>
      <c r="H33" s="16" t="s">
        <v>98</v>
      </c>
      <c r="I33" s="26" t="n">
        <v>15</v>
      </c>
    </row>
    <row r="34" customFormat="false" ht="15" hidden="false" customHeight="false" outlineLevel="0" collapsed="false">
      <c r="A34" s="5" t="s">
        <v>28</v>
      </c>
      <c r="B34" s="24" t="s">
        <v>97</v>
      </c>
      <c r="C34" s="17" t="n">
        <v>0</v>
      </c>
      <c r="D34" s="6" t="n">
        <f aca="false">IF(B34="Per hour",G34,IF(B34="Per month",$B$38,IF(B34="Per session",I34,0)))</f>
        <v>0</v>
      </c>
      <c r="E34" s="18" t="n">
        <f aca="false">IFERROR(C34*D34,0)</f>
        <v>0</v>
      </c>
      <c r="F34" s="5" t="s">
        <v>70</v>
      </c>
      <c r="G34" s="25" t="n">
        <f aca="false">SUMIFS(Calendar!$H:$H,Calendar!$L:$L,A34)</f>
        <v>45.5</v>
      </c>
      <c r="H34" s="16" t="s">
        <v>98</v>
      </c>
      <c r="I34" s="26" t="n">
        <v>14</v>
      </c>
    </row>
    <row r="35" customFormat="false" ht="15" hidden="false" customHeight="false" outlineLevel="0" collapsed="false">
      <c r="A35" s="19" t="s">
        <v>99</v>
      </c>
      <c r="E35" s="20" t="n">
        <f aca="false">SUM(E28:E34)</f>
        <v>199000</v>
      </c>
    </row>
    <row r="36" customFormat="false" ht="15" hidden="false" customHeight="false" outlineLevel="0" collapsed="false">
      <c r="A36" s="19" t="s">
        <v>100</v>
      </c>
      <c r="E36" s="20" t="n">
        <f aca="false">D16-E35</f>
        <v>201000</v>
      </c>
    </row>
    <row r="38" customFormat="false" ht="15" hidden="false" customHeight="false" outlineLevel="0" collapsed="false">
      <c r="A38" s="5" t="s">
        <v>101</v>
      </c>
      <c r="B38" s="27" t="n">
        <v>1</v>
      </c>
      <c r="C38" s="2" t="s">
        <v>102</v>
      </c>
    </row>
    <row r="40" customFormat="false" ht="15" hidden="false" customHeight="false" outlineLevel="0" collapsed="false">
      <c r="A40" s="3" t="s">
        <v>103</v>
      </c>
    </row>
    <row r="41" customFormat="false" ht="15" hidden="false" customHeight="false" outlineLevel="0" collapsed="false">
      <c r="A41" s="4" t="s">
        <v>47</v>
      </c>
      <c r="B41" s="4" t="s">
        <v>104</v>
      </c>
    </row>
    <row r="42" customFormat="false" ht="15" hidden="false" customHeight="false" outlineLevel="0" collapsed="false">
      <c r="A42" s="5" t="s">
        <v>105</v>
      </c>
      <c r="B42" s="18" t="n">
        <f aca="false">IFERROR(D20/B6/30,0)</f>
        <v>909.090909090909</v>
      </c>
    </row>
    <row r="43" customFormat="false" ht="15" hidden="false" customHeight="false" outlineLevel="0" collapsed="false">
      <c r="A43" s="5" t="s">
        <v>106</v>
      </c>
      <c r="B43" s="18" t="n">
        <f aca="false">IFERROR(D20/B6,0)</f>
        <v>27272.7272727273</v>
      </c>
    </row>
    <row r="44" customFormat="false" ht="15" hidden="false" customHeight="false" outlineLevel="0" collapsed="false">
      <c r="A44" s="5" t="s">
        <v>107</v>
      </c>
      <c r="B44" s="18" t="n">
        <f aca="false">IFERROR(E35/B6,0)</f>
        <v>18090.9090909091</v>
      </c>
    </row>
    <row r="45" customFormat="false" ht="15" hidden="false" customHeight="false" outlineLevel="0" collapsed="false">
      <c r="A45" s="5" t="s">
        <v>108</v>
      </c>
      <c r="B45" s="18" t="n">
        <f aca="false">IFERROR((D21+B10)/B6,0)</f>
        <v>126818.181818182</v>
      </c>
    </row>
  </sheetData>
  <mergeCells count="5">
    <mergeCell ref="C6:H6"/>
    <mergeCell ref="C7:H7"/>
    <mergeCell ref="C9:H9"/>
    <mergeCell ref="C11:H11"/>
    <mergeCell ref="B22:D22"/>
  </mergeCells>
  <conditionalFormatting sqref="B23">
    <cfRule type="expression" priority="2" aboveAverage="0" equalAverage="0" bottom="0" percent="0" rank="0" text="" dxfId="0">
      <formula>B23&lt;0</formula>
    </cfRule>
  </conditionalFormatting>
  <conditionalFormatting sqref="G15:G20">
    <cfRule type="expression" priority="3" aboveAverage="0" equalAverage="0" bottom="0" percent="0" rank="0" text="" dxfId="0">
      <formula>G15="Overspent"</formula>
    </cfRule>
  </conditionalFormatting>
  <conditionalFormatting sqref="B22">
    <cfRule type="expression" priority="4" aboveAverage="0" equalAverage="0" bottom="0" percent="0" rank="0" text="" dxfId="0">
      <formula>ROUND(B21,4)&lt;&gt;1</formula>
    </cfRule>
  </conditionalFormatting>
  <conditionalFormatting sqref="E36">
    <cfRule type="expression" priority="5" aboveAverage="0" equalAverage="0" bottom="0" percent="0" rank="0" text="" dxfId="0">
      <formula>E36&lt;0</formula>
    </cfRule>
  </conditionalFormatting>
  <dataValidations count="1">
    <dataValidation allowBlank="true" errorStyle="stop" operator="between" showDropDown="false" showErrorMessage="false" showInputMessage="false" sqref="B28:B34" type="list">
      <formula1>"Per hour,Per month,Per session,Staff (no extra cost)"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4" t="s">
        <v>111</v>
      </c>
      <c r="B4" s="4" t="s">
        <v>112</v>
      </c>
      <c r="C4" s="4" t="s">
        <v>113</v>
      </c>
      <c r="D4" s="4" t="s">
        <v>104</v>
      </c>
      <c r="E4" s="4" t="s">
        <v>114</v>
      </c>
      <c r="F4" s="4" t="s">
        <v>115</v>
      </c>
      <c r="H4" s="3" t="s">
        <v>116</v>
      </c>
      <c r="I4" s="28" t="n">
        <f aca="false">SUM(D5:D204)</f>
        <v>18500</v>
      </c>
    </row>
    <row r="5" customFormat="false" ht="15" hidden="false" customHeight="false" outlineLevel="0" collapsed="false">
      <c r="A5" s="29" t="n">
        <v>46325</v>
      </c>
      <c r="B5" s="30" t="s">
        <v>74</v>
      </c>
      <c r="C5" s="30" t="s">
        <v>117</v>
      </c>
      <c r="D5" s="31" t="n">
        <v>18500</v>
      </c>
      <c r="E5" s="30" t="s">
        <v>118</v>
      </c>
      <c r="F5" s="30" t="s">
        <v>119</v>
      </c>
    </row>
    <row r="6" customFormat="false" ht="15" hidden="false" customHeight="false" outlineLevel="0" collapsed="false">
      <c r="A6" s="32"/>
      <c r="B6" s="24"/>
      <c r="C6" s="24"/>
      <c r="D6" s="17"/>
      <c r="E6" s="24"/>
      <c r="F6" s="24"/>
    </row>
    <row r="7" customFormat="false" ht="15" hidden="false" customHeight="false" outlineLevel="0" collapsed="false">
      <c r="A7" s="32"/>
      <c r="B7" s="24"/>
      <c r="C7" s="24"/>
      <c r="D7" s="17"/>
      <c r="E7" s="24"/>
      <c r="F7" s="24"/>
    </row>
    <row r="8" customFormat="false" ht="15" hidden="false" customHeight="false" outlineLevel="0" collapsed="false">
      <c r="A8" s="32"/>
      <c r="B8" s="24"/>
      <c r="C8" s="24"/>
      <c r="D8" s="17"/>
      <c r="E8" s="24"/>
      <c r="F8" s="24"/>
    </row>
    <row r="9" customFormat="false" ht="15" hidden="false" customHeight="false" outlineLevel="0" collapsed="false">
      <c r="A9" s="32"/>
      <c r="B9" s="24"/>
      <c r="C9" s="24"/>
      <c r="D9" s="17"/>
      <c r="E9" s="24"/>
      <c r="F9" s="24"/>
    </row>
    <row r="10" customFormat="false" ht="15" hidden="false" customHeight="false" outlineLevel="0" collapsed="false">
      <c r="A10" s="32"/>
      <c r="B10" s="24"/>
      <c r="C10" s="24"/>
      <c r="D10" s="17"/>
      <c r="E10" s="24"/>
      <c r="F10" s="24"/>
    </row>
    <row r="11" customFormat="false" ht="15" hidden="false" customHeight="false" outlineLevel="0" collapsed="false">
      <c r="A11" s="32"/>
      <c r="B11" s="24"/>
      <c r="C11" s="24"/>
      <c r="D11" s="17"/>
      <c r="E11" s="24"/>
      <c r="F11" s="24"/>
    </row>
    <row r="12" customFormat="false" ht="15" hidden="false" customHeight="false" outlineLevel="0" collapsed="false">
      <c r="A12" s="32"/>
      <c r="B12" s="24"/>
      <c r="C12" s="24"/>
      <c r="D12" s="17"/>
      <c r="E12" s="24"/>
      <c r="F12" s="24"/>
    </row>
    <row r="13" customFormat="false" ht="15" hidden="false" customHeight="false" outlineLevel="0" collapsed="false">
      <c r="A13" s="32"/>
      <c r="B13" s="24"/>
      <c r="C13" s="24"/>
      <c r="D13" s="17"/>
      <c r="E13" s="24"/>
      <c r="F13" s="24"/>
    </row>
    <row r="14" customFormat="false" ht="15" hidden="false" customHeight="false" outlineLevel="0" collapsed="false">
      <c r="A14" s="32"/>
      <c r="B14" s="24"/>
      <c r="C14" s="24"/>
      <c r="D14" s="17"/>
      <c r="E14" s="24"/>
      <c r="F14" s="24"/>
    </row>
    <row r="15" customFormat="false" ht="15" hidden="false" customHeight="false" outlineLevel="0" collapsed="false">
      <c r="A15" s="32"/>
      <c r="B15" s="24"/>
      <c r="C15" s="24"/>
      <c r="D15" s="17"/>
      <c r="E15" s="24"/>
      <c r="F15" s="24"/>
    </row>
    <row r="16" customFormat="false" ht="15" hidden="false" customHeight="false" outlineLevel="0" collapsed="false">
      <c r="A16" s="32"/>
      <c r="B16" s="24"/>
      <c r="C16" s="24"/>
      <c r="D16" s="17"/>
      <c r="E16" s="24"/>
      <c r="F16" s="24"/>
    </row>
    <row r="17" customFormat="false" ht="15" hidden="false" customHeight="false" outlineLevel="0" collapsed="false">
      <c r="A17" s="32"/>
      <c r="B17" s="24"/>
      <c r="C17" s="24"/>
      <c r="D17" s="17"/>
      <c r="E17" s="24"/>
      <c r="F17" s="24"/>
    </row>
    <row r="18" customFormat="false" ht="15" hidden="false" customHeight="false" outlineLevel="0" collapsed="false">
      <c r="A18" s="32"/>
      <c r="B18" s="24"/>
      <c r="C18" s="24"/>
      <c r="D18" s="17"/>
      <c r="E18" s="24"/>
      <c r="F18" s="24"/>
    </row>
    <row r="19" customFormat="false" ht="15" hidden="false" customHeight="false" outlineLevel="0" collapsed="false">
      <c r="A19" s="32"/>
      <c r="B19" s="24"/>
      <c r="C19" s="24"/>
      <c r="D19" s="17"/>
      <c r="E19" s="24"/>
      <c r="F19" s="24"/>
    </row>
    <row r="20" customFormat="false" ht="15" hidden="false" customHeight="false" outlineLevel="0" collapsed="false">
      <c r="A20" s="32"/>
      <c r="B20" s="24"/>
      <c r="C20" s="24"/>
      <c r="D20" s="17"/>
      <c r="E20" s="24"/>
      <c r="F20" s="24"/>
    </row>
    <row r="21" customFormat="false" ht="15" hidden="false" customHeight="false" outlineLevel="0" collapsed="false">
      <c r="A21" s="32"/>
      <c r="B21" s="24"/>
      <c r="C21" s="24"/>
      <c r="D21" s="17"/>
      <c r="E21" s="24"/>
      <c r="F21" s="24"/>
    </row>
    <row r="22" customFormat="false" ht="15" hidden="false" customHeight="false" outlineLevel="0" collapsed="false">
      <c r="A22" s="32"/>
      <c r="B22" s="24"/>
      <c r="C22" s="24"/>
      <c r="D22" s="17"/>
      <c r="E22" s="24"/>
      <c r="F22" s="24"/>
    </row>
    <row r="23" customFormat="false" ht="15" hidden="false" customHeight="false" outlineLevel="0" collapsed="false">
      <c r="A23" s="32"/>
      <c r="B23" s="24"/>
      <c r="C23" s="24"/>
      <c r="D23" s="17"/>
      <c r="E23" s="24"/>
      <c r="F23" s="24"/>
    </row>
    <row r="24" customFormat="false" ht="15" hidden="false" customHeight="false" outlineLevel="0" collapsed="false">
      <c r="A24" s="32"/>
      <c r="B24" s="24"/>
      <c r="C24" s="24"/>
      <c r="D24" s="17"/>
      <c r="E24" s="24"/>
      <c r="F24" s="24"/>
    </row>
    <row r="25" customFormat="false" ht="15" hidden="false" customHeight="false" outlineLevel="0" collapsed="false">
      <c r="A25" s="32"/>
      <c r="B25" s="24"/>
      <c r="C25" s="24"/>
      <c r="D25" s="17"/>
      <c r="E25" s="24"/>
      <c r="F25" s="24"/>
    </row>
    <row r="26" customFormat="false" ht="15" hidden="false" customHeight="false" outlineLevel="0" collapsed="false">
      <c r="A26" s="32"/>
      <c r="B26" s="24"/>
      <c r="C26" s="24"/>
      <c r="D26" s="17"/>
      <c r="E26" s="24"/>
      <c r="F26" s="24"/>
    </row>
    <row r="27" customFormat="false" ht="15" hidden="false" customHeight="false" outlineLevel="0" collapsed="false">
      <c r="A27" s="32"/>
      <c r="B27" s="24"/>
      <c r="C27" s="24"/>
      <c r="D27" s="17"/>
      <c r="E27" s="24"/>
      <c r="F27" s="24"/>
    </row>
    <row r="28" customFormat="false" ht="15" hidden="false" customHeight="false" outlineLevel="0" collapsed="false">
      <c r="A28" s="32"/>
      <c r="B28" s="24"/>
      <c r="C28" s="24"/>
      <c r="D28" s="17"/>
      <c r="E28" s="24"/>
      <c r="F28" s="24"/>
    </row>
    <row r="29" customFormat="false" ht="15" hidden="false" customHeight="false" outlineLevel="0" collapsed="false">
      <c r="A29" s="32"/>
      <c r="B29" s="24"/>
      <c r="C29" s="24"/>
      <c r="D29" s="17"/>
      <c r="E29" s="24"/>
      <c r="F29" s="24"/>
    </row>
    <row r="30" customFormat="false" ht="15" hidden="false" customHeight="false" outlineLevel="0" collapsed="false">
      <c r="A30" s="32"/>
      <c r="B30" s="24"/>
      <c r="C30" s="24"/>
      <c r="D30" s="17"/>
      <c r="E30" s="24"/>
      <c r="F30" s="24"/>
    </row>
    <row r="31" customFormat="false" ht="15" hidden="false" customHeight="false" outlineLevel="0" collapsed="false">
      <c r="A31" s="32"/>
      <c r="B31" s="24"/>
      <c r="C31" s="24"/>
      <c r="D31" s="17"/>
      <c r="E31" s="24"/>
      <c r="F31" s="24"/>
    </row>
    <row r="32" customFormat="false" ht="15" hidden="false" customHeight="false" outlineLevel="0" collapsed="false">
      <c r="A32" s="32"/>
      <c r="B32" s="24"/>
      <c r="C32" s="24"/>
      <c r="D32" s="17"/>
      <c r="E32" s="24"/>
      <c r="F32" s="24"/>
    </row>
    <row r="33" customFormat="false" ht="15" hidden="false" customHeight="false" outlineLevel="0" collapsed="false">
      <c r="A33" s="32"/>
      <c r="B33" s="24"/>
      <c r="C33" s="24"/>
      <c r="D33" s="17"/>
      <c r="E33" s="24"/>
      <c r="F33" s="24"/>
    </row>
    <row r="34" customFormat="false" ht="15" hidden="false" customHeight="false" outlineLevel="0" collapsed="false">
      <c r="A34" s="32"/>
      <c r="B34" s="24"/>
      <c r="C34" s="24"/>
      <c r="D34" s="17"/>
      <c r="E34" s="24"/>
      <c r="F34" s="24"/>
    </row>
    <row r="35" customFormat="false" ht="15" hidden="false" customHeight="false" outlineLevel="0" collapsed="false">
      <c r="A35" s="32"/>
      <c r="B35" s="24"/>
      <c r="C35" s="24"/>
      <c r="D35" s="17"/>
      <c r="E35" s="24"/>
      <c r="F35" s="24"/>
    </row>
    <row r="36" customFormat="false" ht="15" hidden="false" customHeight="false" outlineLevel="0" collapsed="false">
      <c r="A36" s="32"/>
      <c r="B36" s="24"/>
      <c r="C36" s="24"/>
      <c r="D36" s="17"/>
      <c r="E36" s="24"/>
      <c r="F36" s="24"/>
    </row>
    <row r="37" customFormat="false" ht="15" hidden="false" customHeight="false" outlineLevel="0" collapsed="false">
      <c r="A37" s="32"/>
      <c r="B37" s="24"/>
      <c r="C37" s="24"/>
      <c r="D37" s="17"/>
      <c r="E37" s="24"/>
      <c r="F37" s="24"/>
    </row>
    <row r="38" customFormat="false" ht="15" hidden="false" customHeight="false" outlineLevel="0" collapsed="false">
      <c r="A38" s="32"/>
      <c r="B38" s="24"/>
      <c r="C38" s="24"/>
      <c r="D38" s="17"/>
      <c r="E38" s="24"/>
      <c r="F38" s="24"/>
    </row>
    <row r="39" customFormat="false" ht="15" hidden="false" customHeight="false" outlineLevel="0" collapsed="false">
      <c r="A39" s="32"/>
      <c r="B39" s="24"/>
      <c r="C39" s="24"/>
      <c r="D39" s="17"/>
      <c r="E39" s="24"/>
      <c r="F39" s="24"/>
    </row>
    <row r="40" customFormat="false" ht="15" hidden="false" customHeight="false" outlineLevel="0" collapsed="false">
      <c r="A40" s="32"/>
      <c r="B40" s="24"/>
      <c r="C40" s="24"/>
      <c r="D40" s="17"/>
      <c r="E40" s="24"/>
      <c r="F40" s="24"/>
    </row>
    <row r="41" customFormat="false" ht="15" hidden="false" customHeight="false" outlineLevel="0" collapsed="false">
      <c r="A41" s="32"/>
      <c r="B41" s="24"/>
      <c r="C41" s="24"/>
      <c r="D41" s="17"/>
      <c r="E41" s="24"/>
      <c r="F41" s="24"/>
    </row>
    <row r="42" customFormat="false" ht="15" hidden="false" customHeight="false" outlineLevel="0" collapsed="false">
      <c r="A42" s="32"/>
      <c r="B42" s="24"/>
      <c r="C42" s="24"/>
      <c r="D42" s="17"/>
      <c r="E42" s="24"/>
      <c r="F42" s="24"/>
    </row>
    <row r="43" customFormat="false" ht="15" hidden="false" customHeight="false" outlineLevel="0" collapsed="false">
      <c r="A43" s="32"/>
      <c r="B43" s="24"/>
      <c r="C43" s="24"/>
      <c r="D43" s="17"/>
      <c r="E43" s="24"/>
      <c r="F43" s="24"/>
    </row>
    <row r="44" customFormat="false" ht="15" hidden="false" customHeight="false" outlineLevel="0" collapsed="false">
      <c r="A44" s="32"/>
      <c r="B44" s="24"/>
      <c r="C44" s="24"/>
      <c r="D44" s="17"/>
      <c r="E44" s="24"/>
      <c r="F44" s="24"/>
    </row>
    <row r="45" customFormat="false" ht="15" hidden="false" customHeight="false" outlineLevel="0" collapsed="false">
      <c r="A45" s="32"/>
      <c r="B45" s="24"/>
      <c r="C45" s="24"/>
      <c r="D45" s="17"/>
      <c r="E45" s="24"/>
      <c r="F45" s="24"/>
    </row>
    <row r="46" customFormat="false" ht="15" hidden="false" customHeight="false" outlineLevel="0" collapsed="false">
      <c r="A46" s="32"/>
      <c r="B46" s="24"/>
      <c r="C46" s="24"/>
      <c r="D46" s="17"/>
      <c r="E46" s="24"/>
      <c r="F46" s="24"/>
    </row>
    <row r="47" customFormat="false" ht="15" hidden="false" customHeight="false" outlineLevel="0" collapsed="false">
      <c r="A47" s="32"/>
      <c r="B47" s="24"/>
      <c r="C47" s="24"/>
      <c r="D47" s="17"/>
      <c r="E47" s="24"/>
      <c r="F47" s="24"/>
    </row>
    <row r="48" customFormat="false" ht="15" hidden="false" customHeight="false" outlineLevel="0" collapsed="false">
      <c r="A48" s="32"/>
      <c r="B48" s="24"/>
      <c r="C48" s="24"/>
      <c r="D48" s="17"/>
      <c r="E48" s="24"/>
      <c r="F48" s="24"/>
    </row>
    <row r="49" customFormat="false" ht="15" hidden="false" customHeight="false" outlineLevel="0" collapsed="false">
      <c r="A49" s="32"/>
      <c r="B49" s="24"/>
      <c r="C49" s="24"/>
      <c r="D49" s="17"/>
      <c r="E49" s="24"/>
      <c r="F49" s="24"/>
    </row>
    <row r="50" customFormat="false" ht="15" hidden="false" customHeight="false" outlineLevel="0" collapsed="false">
      <c r="A50" s="32"/>
      <c r="B50" s="24"/>
      <c r="C50" s="24"/>
      <c r="D50" s="17"/>
      <c r="E50" s="24"/>
      <c r="F50" s="24"/>
    </row>
    <row r="51" customFormat="false" ht="15" hidden="false" customHeight="false" outlineLevel="0" collapsed="false">
      <c r="A51" s="32"/>
      <c r="B51" s="24"/>
      <c r="C51" s="24"/>
      <c r="D51" s="17"/>
      <c r="E51" s="24"/>
      <c r="F51" s="24"/>
    </row>
    <row r="52" customFormat="false" ht="15" hidden="false" customHeight="false" outlineLevel="0" collapsed="false">
      <c r="A52" s="32"/>
      <c r="B52" s="24"/>
      <c r="C52" s="24"/>
      <c r="D52" s="17"/>
      <c r="E52" s="24"/>
      <c r="F52" s="24"/>
    </row>
    <row r="53" customFormat="false" ht="15" hidden="false" customHeight="false" outlineLevel="0" collapsed="false">
      <c r="A53" s="32"/>
      <c r="B53" s="24"/>
      <c r="C53" s="24"/>
      <c r="D53" s="17"/>
      <c r="E53" s="24"/>
      <c r="F53" s="24"/>
    </row>
    <row r="54" customFormat="false" ht="15" hidden="false" customHeight="false" outlineLevel="0" collapsed="false">
      <c r="A54" s="32"/>
      <c r="B54" s="24"/>
      <c r="C54" s="24"/>
      <c r="D54" s="17"/>
      <c r="E54" s="24"/>
      <c r="F54" s="24"/>
    </row>
    <row r="55" customFormat="false" ht="15" hidden="false" customHeight="false" outlineLevel="0" collapsed="false">
      <c r="A55" s="32"/>
      <c r="B55" s="24"/>
      <c r="C55" s="24"/>
      <c r="D55" s="17"/>
      <c r="E55" s="24"/>
      <c r="F55" s="24"/>
    </row>
    <row r="56" customFormat="false" ht="15" hidden="false" customHeight="false" outlineLevel="0" collapsed="false">
      <c r="A56" s="32"/>
      <c r="B56" s="24"/>
      <c r="C56" s="24"/>
      <c r="D56" s="17"/>
      <c r="E56" s="24"/>
      <c r="F56" s="24"/>
    </row>
    <row r="57" customFormat="false" ht="15" hidden="false" customHeight="false" outlineLevel="0" collapsed="false">
      <c r="A57" s="32"/>
      <c r="B57" s="24"/>
      <c r="C57" s="24"/>
      <c r="D57" s="17"/>
      <c r="E57" s="24"/>
      <c r="F57" s="24"/>
    </row>
    <row r="58" customFormat="false" ht="15" hidden="false" customHeight="false" outlineLevel="0" collapsed="false">
      <c r="A58" s="32"/>
      <c r="B58" s="24"/>
      <c r="C58" s="24"/>
      <c r="D58" s="17"/>
      <c r="E58" s="24"/>
      <c r="F58" s="24"/>
    </row>
    <row r="59" customFormat="false" ht="15" hidden="false" customHeight="false" outlineLevel="0" collapsed="false">
      <c r="A59" s="32"/>
      <c r="B59" s="24"/>
      <c r="C59" s="24"/>
      <c r="D59" s="17"/>
      <c r="E59" s="24"/>
      <c r="F59" s="24"/>
    </row>
    <row r="60" customFormat="false" ht="15" hidden="false" customHeight="false" outlineLevel="0" collapsed="false">
      <c r="A60" s="32"/>
      <c r="B60" s="24"/>
      <c r="C60" s="24"/>
      <c r="D60" s="17"/>
      <c r="E60" s="24"/>
      <c r="F60" s="24"/>
    </row>
    <row r="61" customFormat="false" ht="15" hidden="false" customHeight="false" outlineLevel="0" collapsed="false">
      <c r="A61" s="32"/>
      <c r="B61" s="24"/>
      <c r="C61" s="24"/>
      <c r="D61" s="17"/>
      <c r="E61" s="24"/>
      <c r="F61" s="24"/>
    </row>
    <row r="62" customFormat="false" ht="15" hidden="false" customHeight="false" outlineLevel="0" collapsed="false">
      <c r="A62" s="32"/>
      <c r="B62" s="24"/>
      <c r="C62" s="24"/>
      <c r="D62" s="17"/>
      <c r="E62" s="24"/>
      <c r="F62" s="24"/>
    </row>
    <row r="63" customFormat="false" ht="15" hidden="false" customHeight="false" outlineLevel="0" collapsed="false">
      <c r="A63" s="32"/>
      <c r="B63" s="24"/>
      <c r="C63" s="24"/>
      <c r="D63" s="17"/>
      <c r="E63" s="24"/>
      <c r="F63" s="24"/>
    </row>
    <row r="64" customFormat="false" ht="15" hidden="false" customHeight="false" outlineLevel="0" collapsed="false">
      <c r="A64" s="32"/>
      <c r="B64" s="24"/>
      <c r="C64" s="24"/>
      <c r="D64" s="17"/>
      <c r="E64" s="24"/>
      <c r="F64" s="24"/>
    </row>
    <row r="65" customFormat="false" ht="15" hidden="false" customHeight="false" outlineLevel="0" collapsed="false">
      <c r="A65" s="32"/>
      <c r="B65" s="24"/>
      <c r="C65" s="24"/>
      <c r="D65" s="17"/>
      <c r="E65" s="24"/>
      <c r="F65" s="24"/>
    </row>
    <row r="66" customFormat="false" ht="15" hidden="false" customHeight="false" outlineLevel="0" collapsed="false">
      <c r="A66" s="32"/>
      <c r="B66" s="24"/>
      <c r="C66" s="24"/>
      <c r="D66" s="17"/>
      <c r="E66" s="24"/>
      <c r="F66" s="24"/>
    </row>
    <row r="67" customFormat="false" ht="15" hidden="false" customHeight="false" outlineLevel="0" collapsed="false">
      <c r="A67" s="32"/>
      <c r="B67" s="24"/>
      <c r="C67" s="24"/>
      <c r="D67" s="17"/>
      <c r="E67" s="24"/>
      <c r="F67" s="24"/>
    </row>
    <row r="68" customFormat="false" ht="15" hidden="false" customHeight="false" outlineLevel="0" collapsed="false">
      <c r="A68" s="32"/>
      <c r="B68" s="24"/>
      <c r="C68" s="24"/>
      <c r="D68" s="17"/>
      <c r="E68" s="24"/>
      <c r="F68" s="24"/>
    </row>
    <row r="69" customFormat="false" ht="15" hidden="false" customHeight="false" outlineLevel="0" collapsed="false">
      <c r="A69" s="32"/>
      <c r="B69" s="24"/>
      <c r="C69" s="24"/>
      <c r="D69" s="17"/>
      <c r="E69" s="24"/>
      <c r="F69" s="24"/>
    </row>
    <row r="70" customFormat="false" ht="15" hidden="false" customHeight="false" outlineLevel="0" collapsed="false">
      <c r="A70" s="32"/>
      <c r="B70" s="24"/>
      <c r="C70" s="24"/>
      <c r="D70" s="17"/>
      <c r="E70" s="24"/>
      <c r="F70" s="24"/>
    </row>
    <row r="71" customFormat="false" ht="15" hidden="false" customHeight="false" outlineLevel="0" collapsed="false">
      <c r="A71" s="32"/>
      <c r="B71" s="24"/>
      <c r="C71" s="24"/>
      <c r="D71" s="17"/>
      <c r="E71" s="24"/>
      <c r="F71" s="24"/>
    </row>
    <row r="72" customFormat="false" ht="15" hidden="false" customHeight="false" outlineLevel="0" collapsed="false">
      <c r="A72" s="32"/>
      <c r="B72" s="24"/>
      <c r="C72" s="24"/>
      <c r="D72" s="17"/>
      <c r="E72" s="24"/>
      <c r="F72" s="24"/>
    </row>
    <row r="73" customFormat="false" ht="15" hidden="false" customHeight="false" outlineLevel="0" collapsed="false">
      <c r="A73" s="32"/>
      <c r="B73" s="24"/>
      <c r="C73" s="24"/>
      <c r="D73" s="17"/>
      <c r="E73" s="24"/>
      <c r="F73" s="24"/>
    </row>
    <row r="74" customFormat="false" ht="15" hidden="false" customHeight="false" outlineLevel="0" collapsed="false">
      <c r="A74" s="32"/>
      <c r="B74" s="24"/>
      <c r="C74" s="24"/>
      <c r="D74" s="17"/>
      <c r="E74" s="24"/>
      <c r="F74" s="24"/>
    </row>
    <row r="75" customFormat="false" ht="15" hidden="false" customHeight="false" outlineLevel="0" collapsed="false">
      <c r="A75" s="32"/>
      <c r="B75" s="24"/>
      <c r="C75" s="24"/>
      <c r="D75" s="17"/>
      <c r="E75" s="24"/>
      <c r="F75" s="24"/>
    </row>
    <row r="76" customFormat="false" ht="15" hidden="false" customHeight="false" outlineLevel="0" collapsed="false">
      <c r="A76" s="32"/>
      <c r="B76" s="24"/>
      <c r="C76" s="24"/>
      <c r="D76" s="17"/>
      <c r="E76" s="24"/>
      <c r="F76" s="24"/>
    </row>
    <row r="77" customFormat="false" ht="15" hidden="false" customHeight="false" outlineLevel="0" collapsed="false">
      <c r="A77" s="32"/>
      <c r="B77" s="24"/>
      <c r="C77" s="24"/>
      <c r="D77" s="17"/>
      <c r="E77" s="24"/>
      <c r="F77" s="24"/>
    </row>
    <row r="78" customFormat="false" ht="15" hidden="false" customHeight="false" outlineLevel="0" collapsed="false">
      <c r="A78" s="32"/>
      <c r="B78" s="24"/>
      <c r="C78" s="24"/>
      <c r="D78" s="17"/>
      <c r="E78" s="24"/>
      <c r="F78" s="24"/>
    </row>
    <row r="79" customFormat="false" ht="15" hidden="false" customHeight="false" outlineLevel="0" collapsed="false">
      <c r="A79" s="32"/>
      <c r="B79" s="24"/>
      <c r="C79" s="24"/>
      <c r="D79" s="17"/>
      <c r="E79" s="24"/>
      <c r="F79" s="24"/>
    </row>
    <row r="80" customFormat="false" ht="15" hidden="false" customHeight="false" outlineLevel="0" collapsed="false">
      <c r="A80" s="32"/>
      <c r="B80" s="24"/>
      <c r="C80" s="24"/>
      <c r="D80" s="17"/>
      <c r="E80" s="24"/>
      <c r="F80" s="24"/>
    </row>
    <row r="81" customFormat="false" ht="15" hidden="false" customHeight="false" outlineLevel="0" collapsed="false">
      <c r="A81" s="32"/>
      <c r="B81" s="24"/>
      <c r="C81" s="24"/>
      <c r="D81" s="17"/>
      <c r="E81" s="24"/>
      <c r="F81" s="24"/>
    </row>
    <row r="82" customFormat="false" ht="15" hidden="false" customHeight="false" outlineLevel="0" collapsed="false">
      <c r="A82" s="32"/>
      <c r="B82" s="24"/>
      <c r="C82" s="24"/>
      <c r="D82" s="17"/>
      <c r="E82" s="24"/>
      <c r="F82" s="24"/>
    </row>
    <row r="83" customFormat="false" ht="15" hidden="false" customHeight="false" outlineLevel="0" collapsed="false">
      <c r="A83" s="32"/>
      <c r="B83" s="24"/>
      <c r="C83" s="24"/>
      <c r="D83" s="17"/>
      <c r="E83" s="24"/>
      <c r="F83" s="24"/>
    </row>
    <row r="84" customFormat="false" ht="15" hidden="false" customHeight="false" outlineLevel="0" collapsed="false">
      <c r="A84" s="32"/>
      <c r="B84" s="24"/>
      <c r="C84" s="24"/>
      <c r="D84" s="17"/>
      <c r="E84" s="24"/>
      <c r="F84" s="24"/>
    </row>
    <row r="85" customFormat="false" ht="15" hidden="false" customHeight="false" outlineLevel="0" collapsed="false">
      <c r="A85" s="32"/>
      <c r="B85" s="24"/>
      <c r="C85" s="24"/>
      <c r="D85" s="17"/>
      <c r="E85" s="24"/>
      <c r="F85" s="24"/>
    </row>
    <row r="86" customFormat="false" ht="15" hidden="false" customHeight="false" outlineLevel="0" collapsed="false">
      <c r="A86" s="32"/>
      <c r="B86" s="24"/>
      <c r="C86" s="24"/>
      <c r="D86" s="17"/>
      <c r="E86" s="24"/>
      <c r="F86" s="24"/>
    </row>
    <row r="87" customFormat="false" ht="15" hidden="false" customHeight="false" outlineLevel="0" collapsed="false">
      <c r="A87" s="32"/>
      <c r="B87" s="24"/>
      <c r="C87" s="24"/>
      <c r="D87" s="17"/>
      <c r="E87" s="24"/>
      <c r="F87" s="24"/>
    </row>
    <row r="88" customFormat="false" ht="15" hidden="false" customHeight="false" outlineLevel="0" collapsed="false">
      <c r="A88" s="32"/>
      <c r="B88" s="24"/>
      <c r="C88" s="24"/>
      <c r="D88" s="17"/>
      <c r="E88" s="24"/>
      <c r="F88" s="24"/>
    </row>
    <row r="89" customFormat="false" ht="15" hidden="false" customHeight="false" outlineLevel="0" collapsed="false">
      <c r="A89" s="32"/>
      <c r="B89" s="24"/>
      <c r="C89" s="24"/>
      <c r="D89" s="17"/>
      <c r="E89" s="24"/>
      <c r="F89" s="24"/>
    </row>
    <row r="90" customFormat="false" ht="15" hidden="false" customHeight="false" outlineLevel="0" collapsed="false">
      <c r="A90" s="32"/>
      <c r="B90" s="24"/>
      <c r="C90" s="24"/>
      <c r="D90" s="17"/>
      <c r="E90" s="24"/>
      <c r="F90" s="24"/>
    </row>
    <row r="91" customFormat="false" ht="15" hidden="false" customHeight="false" outlineLevel="0" collapsed="false">
      <c r="A91" s="32"/>
      <c r="B91" s="24"/>
      <c r="C91" s="24"/>
      <c r="D91" s="17"/>
      <c r="E91" s="24"/>
      <c r="F91" s="24"/>
    </row>
    <row r="92" customFormat="false" ht="15" hidden="false" customHeight="false" outlineLevel="0" collapsed="false">
      <c r="A92" s="32"/>
      <c r="B92" s="24"/>
      <c r="C92" s="24"/>
      <c r="D92" s="17"/>
      <c r="E92" s="24"/>
      <c r="F92" s="24"/>
    </row>
    <row r="93" customFormat="false" ht="15" hidden="false" customHeight="false" outlineLevel="0" collapsed="false">
      <c r="A93" s="32"/>
      <c r="B93" s="24"/>
      <c r="C93" s="24"/>
      <c r="D93" s="17"/>
      <c r="E93" s="24"/>
      <c r="F93" s="24"/>
    </row>
    <row r="94" customFormat="false" ht="15" hidden="false" customHeight="false" outlineLevel="0" collapsed="false">
      <c r="A94" s="32"/>
      <c r="B94" s="24"/>
      <c r="C94" s="24"/>
      <c r="D94" s="17"/>
      <c r="E94" s="24"/>
      <c r="F94" s="24"/>
    </row>
    <row r="95" customFormat="false" ht="15" hidden="false" customHeight="false" outlineLevel="0" collapsed="false">
      <c r="A95" s="32"/>
      <c r="B95" s="24"/>
      <c r="C95" s="24"/>
      <c r="D95" s="17"/>
      <c r="E95" s="24"/>
      <c r="F95" s="24"/>
    </row>
    <row r="96" customFormat="false" ht="15" hidden="false" customHeight="false" outlineLevel="0" collapsed="false">
      <c r="A96" s="32"/>
      <c r="B96" s="24"/>
      <c r="C96" s="24"/>
      <c r="D96" s="17"/>
      <c r="E96" s="24"/>
      <c r="F96" s="24"/>
    </row>
    <row r="97" customFormat="false" ht="15" hidden="false" customHeight="false" outlineLevel="0" collapsed="false">
      <c r="A97" s="32"/>
      <c r="B97" s="24"/>
      <c r="C97" s="24"/>
      <c r="D97" s="17"/>
      <c r="E97" s="24"/>
      <c r="F97" s="24"/>
    </row>
    <row r="98" customFormat="false" ht="15" hidden="false" customHeight="false" outlineLevel="0" collapsed="false">
      <c r="A98" s="32"/>
      <c r="B98" s="24"/>
      <c r="C98" s="24"/>
      <c r="D98" s="17"/>
      <c r="E98" s="24"/>
      <c r="F98" s="24"/>
    </row>
    <row r="99" customFormat="false" ht="15" hidden="false" customHeight="false" outlineLevel="0" collapsed="false">
      <c r="A99" s="32"/>
      <c r="B99" s="24"/>
      <c r="C99" s="24"/>
      <c r="D99" s="17"/>
      <c r="E99" s="24"/>
      <c r="F99" s="24"/>
    </row>
    <row r="100" customFormat="false" ht="15" hidden="false" customHeight="false" outlineLevel="0" collapsed="false">
      <c r="A100" s="32"/>
      <c r="B100" s="24"/>
      <c r="C100" s="24"/>
      <c r="D100" s="17"/>
      <c r="E100" s="24"/>
      <c r="F100" s="24"/>
    </row>
    <row r="101" customFormat="false" ht="15" hidden="false" customHeight="false" outlineLevel="0" collapsed="false">
      <c r="A101" s="32"/>
      <c r="B101" s="24"/>
      <c r="C101" s="24"/>
      <c r="D101" s="17"/>
      <c r="E101" s="24"/>
      <c r="F101" s="24"/>
    </row>
    <row r="102" customFormat="false" ht="15" hidden="false" customHeight="false" outlineLevel="0" collapsed="false">
      <c r="A102" s="32"/>
      <c r="B102" s="24"/>
      <c r="C102" s="24"/>
      <c r="D102" s="17"/>
      <c r="E102" s="24"/>
      <c r="F102" s="24"/>
    </row>
    <row r="103" customFormat="false" ht="15" hidden="false" customHeight="false" outlineLevel="0" collapsed="false">
      <c r="A103" s="32"/>
      <c r="B103" s="24"/>
      <c r="C103" s="24"/>
      <c r="D103" s="17"/>
      <c r="E103" s="24"/>
      <c r="F103" s="24"/>
    </row>
    <row r="104" customFormat="false" ht="15" hidden="false" customHeight="false" outlineLevel="0" collapsed="false">
      <c r="A104" s="32"/>
      <c r="B104" s="24"/>
      <c r="C104" s="24"/>
      <c r="D104" s="17"/>
      <c r="E104" s="24"/>
      <c r="F104" s="24"/>
    </row>
    <row r="105" customFormat="false" ht="15" hidden="false" customHeight="false" outlineLevel="0" collapsed="false">
      <c r="A105" s="32"/>
      <c r="B105" s="24"/>
      <c r="C105" s="24"/>
      <c r="D105" s="17"/>
      <c r="E105" s="24"/>
      <c r="F105" s="24"/>
    </row>
    <row r="106" customFormat="false" ht="15" hidden="false" customHeight="false" outlineLevel="0" collapsed="false">
      <c r="A106" s="32"/>
      <c r="B106" s="24"/>
      <c r="C106" s="24"/>
      <c r="D106" s="17"/>
      <c r="E106" s="24"/>
      <c r="F106" s="24"/>
    </row>
    <row r="107" customFormat="false" ht="15" hidden="false" customHeight="false" outlineLevel="0" collapsed="false">
      <c r="A107" s="32"/>
      <c r="B107" s="24"/>
      <c r="C107" s="24"/>
      <c r="D107" s="17"/>
      <c r="E107" s="24"/>
      <c r="F107" s="24"/>
    </row>
    <row r="108" customFormat="false" ht="15" hidden="false" customHeight="false" outlineLevel="0" collapsed="false">
      <c r="A108" s="32"/>
      <c r="B108" s="24"/>
      <c r="C108" s="24"/>
      <c r="D108" s="17"/>
      <c r="E108" s="24"/>
      <c r="F108" s="24"/>
    </row>
    <row r="109" customFormat="false" ht="15" hidden="false" customHeight="false" outlineLevel="0" collapsed="false">
      <c r="A109" s="32"/>
      <c r="B109" s="24"/>
      <c r="C109" s="24"/>
      <c r="D109" s="17"/>
      <c r="E109" s="24"/>
      <c r="F109" s="24"/>
    </row>
    <row r="110" customFormat="false" ht="15" hidden="false" customHeight="false" outlineLevel="0" collapsed="false">
      <c r="A110" s="32"/>
      <c r="B110" s="24"/>
      <c r="C110" s="24"/>
      <c r="D110" s="17"/>
      <c r="E110" s="24"/>
      <c r="F110" s="24"/>
    </row>
    <row r="111" customFormat="false" ht="15" hidden="false" customHeight="false" outlineLevel="0" collapsed="false">
      <c r="A111" s="32"/>
      <c r="B111" s="24"/>
      <c r="C111" s="24"/>
      <c r="D111" s="17"/>
      <c r="E111" s="24"/>
      <c r="F111" s="24"/>
    </row>
    <row r="112" customFormat="false" ht="15" hidden="false" customHeight="false" outlineLevel="0" collapsed="false">
      <c r="A112" s="32"/>
      <c r="B112" s="24"/>
      <c r="C112" s="24"/>
      <c r="D112" s="17"/>
      <c r="E112" s="24"/>
      <c r="F112" s="24"/>
    </row>
    <row r="113" customFormat="false" ht="15" hidden="false" customHeight="false" outlineLevel="0" collapsed="false">
      <c r="A113" s="32"/>
      <c r="B113" s="24"/>
      <c r="C113" s="24"/>
      <c r="D113" s="17"/>
      <c r="E113" s="24"/>
      <c r="F113" s="24"/>
    </row>
    <row r="114" customFormat="false" ht="15" hidden="false" customHeight="false" outlineLevel="0" collapsed="false">
      <c r="A114" s="32"/>
      <c r="B114" s="24"/>
      <c r="C114" s="24"/>
      <c r="D114" s="17"/>
      <c r="E114" s="24"/>
      <c r="F114" s="24"/>
    </row>
    <row r="115" customFormat="false" ht="15" hidden="false" customHeight="false" outlineLevel="0" collapsed="false">
      <c r="A115" s="32"/>
      <c r="B115" s="24"/>
      <c r="C115" s="24"/>
      <c r="D115" s="17"/>
      <c r="E115" s="24"/>
      <c r="F115" s="24"/>
    </row>
    <row r="116" customFormat="false" ht="15" hidden="false" customHeight="false" outlineLevel="0" collapsed="false">
      <c r="A116" s="32"/>
      <c r="B116" s="24"/>
      <c r="C116" s="24"/>
      <c r="D116" s="17"/>
      <c r="E116" s="24"/>
      <c r="F116" s="24"/>
    </row>
    <row r="117" customFormat="false" ht="15" hidden="false" customHeight="false" outlineLevel="0" collapsed="false">
      <c r="A117" s="32"/>
      <c r="B117" s="24"/>
      <c r="C117" s="24"/>
      <c r="D117" s="17"/>
      <c r="E117" s="24"/>
      <c r="F117" s="24"/>
    </row>
    <row r="118" customFormat="false" ht="15" hidden="false" customHeight="false" outlineLevel="0" collapsed="false">
      <c r="A118" s="32"/>
      <c r="B118" s="24"/>
      <c r="C118" s="24"/>
      <c r="D118" s="17"/>
      <c r="E118" s="24"/>
      <c r="F118" s="24"/>
    </row>
    <row r="119" customFormat="false" ht="15" hidden="false" customHeight="false" outlineLevel="0" collapsed="false">
      <c r="A119" s="32"/>
      <c r="B119" s="24"/>
      <c r="C119" s="24"/>
      <c r="D119" s="17"/>
      <c r="E119" s="24"/>
      <c r="F119" s="24"/>
    </row>
    <row r="120" customFormat="false" ht="15" hidden="false" customHeight="false" outlineLevel="0" collapsed="false">
      <c r="A120" s="32"/>
      <c r="B120" s="24"/>
      <c r="C120" s="24"/>
      <c r="D120" s="17"/>
      <c r="E120" s="24"/>
      <c r="F120" s="24"/>
    </row>
    <row r="121" customFormat="false" ht="15" hidden="false" customHeight="false" outlineLevel="0" collapsed="false">
      <c r="A121" s="32"/>
      <c r="B121" s="24"/>
      <c r="C121" s="24"/>
      <c r="D121" s="17"/>
      <c r="E121" s="24"/>
      <c r="F121" s="24"/>
    </row>
    <row r="122" customFormat="false" ht="15" hidden="false" customHeight="false" outlineLevel="0" collapsed="false">
      <c r="A122" s="32"/>
      <c r="B122" s="24"/>
      <c r="C122" s="24"/>
      <c r="D122" s="17"/>
      <c r="E122" s="24"/>
      <c r="F122" s="24"/>
    </row>
    <row r="123" customFormat="false" ht="15" hidden="false" customHeight="false" outlineLevel="0" collapsed="false">
      <c r="A123" s="32"/>
      <c r="B123" s="24"/>
      <c r="C123" s="24"/>
      <c r="D123" s="17"/>
      <c r="E123" s="24"/>
      <c r="F123" s="24"/>
    </row>
    <row r="124" customFormat="false" ht="15" hidden="false" customHeight="false" outlineLevel="0" collapsed="false">
      <c r="A124" s="32"/>
      <c r="B124" s="24"/>
      <c r="C124" s="24"/>
      <c r="D124" s="17"/>
      <c r="E124" s="24"/>
      <c r="F124" s="24"/>
    </row>
    <row r="125" customFormat="false" ht="15" hidden="false" customHeight="false" outlineLevel="0" collapsed="false">
      <c r="A125" s="32"/>
      <c r="B125" s="24"/>
      <c r="C125" s="24"/>
      <c r="D125" s="17"/>
      <c r="E125" s="24"/>
      <c r="F125" s="24"/>
    </row>
    <row r="126" customFormat="false" ht="15" hidden="false" customHeight="false" outlineLevel="0" collapsed="false">
      <c r="A126" s="32"/>
      <c r="B126" s="24"/>
      <c r="C126" s="24"/>
      <c r="D126" s="17"/>
      <c r="E126" s="24"/>
      <c r="F126" s="24"/>
    </row>
    <row r="127" customFormat="false" ht="15" hidden="false" customHeight="false" outlineLevel="0" collapsed="false">
      <c r="A127" s="32"/>
      <c r="B127" s="24"/>
      <c r="C127" s="24"/>
      <c r="D127" s="17"/>
      <c r="E127" s="24"/>
      <c r="F127" s="24"/>
    </row>
    <row r="128" customFormat="false" ht="15" hidden="false" customHeight="false" outlineLevel="0" collapsed="false">
      <c r="A128" s="32"/>
      <c r="B128" s="24"/>
      <c r="C128" s="24"/>
      <c r="D128" s="17"/>
      <c r="E128" s="24"/>
      <c r="F128" s="24"/>
    </row>
    <row r="129" customFormat="false" ht="15" hidden="false" customHeight="false" outlineLevel="0" collapsed="false">
      <c r="A129" s="32"/>
      <c r="B129" s="24"/>
      <c r="C129" s="24"/>
      <c r="D129" s="17"/>
      <c r="E129" s="24"/>
      <c r="F129" s="24"/>
    </row>
    <row r="130" customFormat="false" ht="15" hidden="false" customHeight="false" outlineLevel="0" collapsed="false">
      <c r="A130" s="32"/>
      <c r="B130" s="24"/>
      <c r="C130" s="24"/>
      <c r="D130" s="17"/>
      <c r="E130" s="24"/>
      <c r="F130" s="24"/>
    </row>
    <row r="131" customFormat="false" ht="15" hidden="false" customHeight="false" outlineLevel="0" collapsed="false">
      <c r="A131" s="32"/>
      <c r="B131" s="24"/>
      <c r="C131" s="24"/>
      <c r="D131" s="17"/>
      <c r="E131" s="24"/>
      <c r="F131" s="24"/>
    </row>
    <row r="132" customFormat="false" ht="15" hidden="false" customHeight="false" outlineLevel="0" collapsed="false">
      <c r="A132" s="32"/>
      <c r="B132" s="24"/>
      <c r="C132" s="24"/>
      <c r="D132" s="17"/>
      <c r="E132" s="24"/>
      <c r="F132" s="24"/>
    </row>
    <row r="133" customFormat="false" ht="15" hidden="false" customHeight="false" outlineLevel="0" collapsed="false">
      <c r="A133" s="32"/>
      <c r="B133" s="24"/>
      <c r="C133" s="24"/>
      <c r="D133" s="17"/>
      <c r="E133" s="24"/>
      <c r="F133" s="24"/>
    </row>
    <row r="134" customFormat="false" ht="15" hidden="false" customHeight="false" outlineLevel="0" collapsed="false">
      <c r="A134" s="32"/>
      <c r="B134" s="24"/>
      <c r="C134" s="24"/>
      <c r="D134" s="17"/>
      <c r="E134" s="24"/>
      <c r="F134" s="24"/>
    </row>
    <row r="135" customFormat="false" ht="15" hidden="false" customHeight="false" outlineLevel="0" collapsed="false">
      <c r="A135" s="32"/>
      <c r="B135" s="24"/>
      <c r="C135" s="24"/>
      <c r="D135" s="17"/>
      <c r="E135" s="24"/>
      <c r="F135" s="24"/>
    </row>
    <row r="136" customFormat="false" ht="15" hidden="false" customHeight="false" outlineLevel="0" collapsed="false">
      <c r="A136" s="32"/>
      <c r="B136" s="24"/>
      <c r="C136" s="24"/>
      <c r="D136" s="17"/>
      <c r="E136" s="24"/>
      <c r="F136" s="24"/>
    </row>
    <row r="137" customFormat="false" ht="15" hidden="false" customHeight="false" outlineLevel="0" collapsed="false">
      <c r="A137" s="32"/>
      <c r="B137" s="24"/>
      <c r="C137" s="24"/>
      <c r="D137" s="17"/>
      <c r="E137" s="24"/>
      <c r="F137" s="24"/>
    </row>
    <row r="138" customFormat="false" ht="15" hidden="false" customHeight="false" outlineLevel="0" collapsed="false">
      <c r="A138" s="32"/>
      <c r="B138" s="24"/>
      <c r="C138" s="24"/>
      <c r="D138" s="17"/>
      <c r="E138" s="24"/>
      <c r="F138" s="24"/>
    </row>
    <row r="139" customFormat="false" ht="15" hidden="false" customHeight="false" outlineLevel="0" collapsed="false">
      <c r="A139" s="32"/>
      <c r="B139" s="24"/>
      <c r="C139" s="24"/>
      <c r="D139" s="17"/>
      <c r="E139" s="24"/>
      <c r="F139" s="24"/>
    </row>
    <row r="140" customFormat="false" ht="15" hidden="false" customHeight="false" outlineLevel="0" collapsed="false">
      <c r="A140" s="32"/>
      <c r="B140" s="24"/>
      <c r="C140" s="24"/>
      <c r="D140" s="17"/>
      <c r="E140" s="24"/>
      <c r="F140" s="24"/>
    </row>
    <row r="141" customFormat="false" ht="15" hidden="false" customHeight="false" outlineLevel="0" collapsed="false">
      <c r="A141" s="32"/>
      <c r="B141" s="24"/>
      <c r="C141" s="24"/>
      <c r="D141" s="17"/>
      <c r="E141" s="24"/>
      <c r="F141" s="24"/>
    </row>
    <row r="142" customFormat="false" ht="15" hidden="false" customHeight="false" outlineLevel="0" collapsed="false">
      <c r="A142" s="32"/>
      <c r="B142" s="24"/>
      <c r="C142" s="24"/>
      <c r="D142" s="17"/>
      <c r="E142" s="24"/>
      <c r="F142" s="24"/>
    </row>
    <row r="143" customFormat="false" ht="15" hidden="false" customHeight="false" outlineLevel="0" collapsed="false">
      <c r="A143" s="32"/>
      <c r="B143" s="24"/>
      <c r="C143" s="24"/>
      <c r="D143" s="17"/>
      <c r="E143" s="24"/>
      <c r="F143" s="24"/>
    </row>
    <row r="144" customFormat="false" ht="15" hidden="false" customHeight="false" outlineLevel="0" collapsed="false">
      <c r="A144" s="32"/>
      <c r="B144" s="24"/>
      <c r="C144" s="24"/>
      <c r="D144" s="17"/>
      <c r="E144" s="24"/>
      <c r="F144" s="24"/>
    </row>
    <row r="145" customFormat="false" ht="15" hidden="false" customHeight="false" outlineLevel="0" collapsed="false">
      <c r="A145" s="32"/>
      <c r="B145" s="24"/>
      <c r="C145" s="24"/>
      <c r="D145" s="17"/>
      <c r="E145" s="24"/>
      <c r="F145" s="24"/>
    </row>
    <row r="146" customFormat="false" ht="15" hidden="false" customHeight="false" outlineLevel="0" collapsed="false">
      <c r="A146" s="32"/>
      <c r="B146" s="24"/>
      <c r="C146" s="24"/>
      <c r="D146" s="17"/>
      <c r="E146" s="24"/>
      <c r="F146" s="24"/>
    </row>
    <row r="147" customFormat="false" ht="15" hidden="false" customHeight="false" outlineLevel="0" collapsed="false">
      <c r="A147" s="32"/>
      <c r="B147" s="24"/>
      <c r="C147" s="24"/>
      <c r="D147" s="17"/>
      <c r="E147" s="24"/>
      <c r="F147" s="24"/>
    </row>
    <row r="148" customFormat="false" ht="15" hidden="false" customHeight="false" outlineLevel="0" collapsed="false">
      <c r="A148" s="32"/>
      <c r="B148" s="24"/>
      <c r="C148" s="24"/>
      <c r="D148" s="17"/>
      <c r="E148" s="24"/>
      <c r="F148" s="24"/>
    </row>
    <row r="149" customFormat="false" ht="15" hidden="false" customHeight="false" outlineLevel="0" collapsed="false">
      <c r="A149" s="32"/>
      <c r="B149" s="24"/>
      <c r="C149" s="24"/>
      <c r="D149" s="17"/>
      <c r="E149" s="24"/>
      <c r="F149" s="24"/>
    </row>
    <row r="150" customFormat="false" ht="15" hidden="false" customHeight="false" outlineLevel="0" collapsed="false">
      <c r="A150" s="32"/>
      <c r="B150" s="24"/>
      <c r="C150" s="24"/>
      <c r="D150" s="17"/>
      <c r="E150" s="24"/>
      <c r="F150" s="24"/>
    </row>
    <row r="151" customFormat="false" ht="15" hidden="false" customHeight="false" outlineLevel="0" collapsed="false">
      <c r="A151" s="32"/>
      <c r="B151" s="24"/>
      <c r="C151" s="24"/>
      <c r="D151" s="17"/>
      <c r="E151" s="24"/>
      <c r="F151" s="24"/>
    </row>
    <row r="152" customFormat="false" ht="15" hidden="false" customHeight="false" outlineLevel="0" collapsed="false">
      <c r="A152" s="32"/>
      <c r="B152" s="24"/>
      <c r="C152" s="24"/>
      <c r="D152" s="17"/>
      <c r="E152" s="24"/>
      <c r="F152" s="24"/>
    </row>
    <row r="153" customFormat="false" ht="15" hidden="false" customHeight="false" outlineLevel="0" collapsed="false">
      <c r="A153" s="32"/>
      <c r="B153" s="24"/>
      <c r="C153" s="24"/>
      <c r="D153" s="17"/>
      <c r="E153" s="24"/>
      <c r="F153" s="24"/>
    </row>
    <row r="154" customFormat="false" ht="15" hidden="false" customHeight="false" outlineLevel="0" collapsed="false">
      <c r="A154" s="32"/>
      <c r="B154" s="24"/>
      <c r="C154" s="24"/>
      <c r="D154" s="17"/>
      <c r="E154" s="24"/>
      <c r="F154" s="24"/>
    </row>
    <row r="155" customFormat="false" ht="15" hidden="false" customHeight="false" outlineLevel="0" collapsed="false">
      <c r="A155" s="32"/>
      <c r="B155" s="24"/>
      <c r="C155" s="24"/>
      <c r="D155" s="17"/>
      <c r="E155" s="24"/>
      <c r="F155" s="24"/>
    </row>
    <row r="156" customFormat="false" ht="15" hidden="false" customHeight="false" outlineLevel="0" collapsed="false">
      <c r="A156" s="32"/>
      <c r="B156" s="24"/>
      <c r="C156" s="24"/>
      <c r="D156" s="17"/>
      <c r="E156" s="24"/>
      <c r="F156" s="24"/>
    </row>
    <row r="157" customFormat="false" ht="15" hidden="false" customHeight="false" outlineLevel="0" collapsed="false">
      <c r="A157" s="32"/>
      <c r="B157" s="24"/>
      <c r="C157" s="24"/>
      <c r="D157" s="17"/>
      <c r="E157" s="24"/>
      <c r="F157" s="24"/>
    </row>
    <row r="158" customFormat="false" ht="15" hidden="false" customHeight="false" outlineLevel="0" collapsed="false">
      <c r="A158" s="32"/>
      <c r="B158" s="24"/>
      <c r="C158" s="24"/>
      <c r="D158" s="17"/>
      <c r="E158" s="24"/>
      <c r="F158" s="24"/>
    </row>
    <row r="159" customFormat="false" ht="15" hidden="false" customHeight="false" outlineLevel="0" collapsed="false">
      <c r="A159" s="32"/>
      <c r="B159" s="24"/>
      <c r="C159" s="24"/>
      <c r="D159" s="17"/>
      <c r="E159" s="24"/>
      <c r="F159" s="24"/>
    </row>
    <row r="160" customFormat="false" ht="15" hidden="false" customHeight="false" outlineLevel="0" collapsed="false">
      <c r="A160" s="32"/>
      <c r="B160" s="24"/>
      <c r="C160" s="24"/>
      <c r="D160" s="17"/>
      <c r="E160" s="24"/>
      <c r="F160" s="24"/>
    </row>
    <row r="161" customFormat="false" ht="15" hidden="false" customHeight="false" outlineLevel="0" collapsed="false">
      <c r="A161" s="32"/>
      <c r="B161" s="24"/>
      <c r="C161" s="24"/>
      <c r="D161" s="17"/>
      <c r="E161" s="24"/>
      <c r="F161" s="24"/>
    </row>
    <row r="162" customFormat="false" ht="15" hidden="false" customHeight="false" outlineLevel="0" collapsed="false">
      <c r="A162" s="32"/>
      <c r="B162" s="24"/>
      <c r="C162" s="24"/>
      <c r="D162" s="17"/>
      <c r="E162" s="24"/>
      <c r="F162" s="24"/>
    </row>
    <row r="163" customFormat="false" ht="15" hidden="false" customHeight="false" outlineLevel="0" collapsed="false">
      <c r="A163" s="32"/>
      <c r="B163" s="24"/>
      <c r="C163" s="24"/>
      <c r="D163" s="17"/>
      <c r="E163" s="24"/>
      <c r="F163" s="24"/>
    </row>
    <row r="164" customFormat="false" ht="15" hidden="false" customHeight="false" outlineLevel="0" collapsed="false">
      <c r="A164" s="32"/>
      <c r="B164" s="24"/>
      <c r="C164" s="24"/>
      <c r="D164" s="17"/>
      <c r="E164" s="24"/>
      <c r="F164" s="24"/>
    </row>
    <row r="165" customFormat="false" ht="15" hidden="false" customHeight="false" outlineLevel="0" collapsed="false">
      <c r="A165" s="32"/>
      <c r="B165" s="24"/>
      <c r="C165" s="24"/>
      <c r="D165" s="17"/>
      <c r="E165" s="24"/>
      <c r="F165" s="24"/>
    </row>
    <row r="166" customFormat="false" ht="15" hidden="false" customHeight="false" outlineLevel="0" collapsed="false">
      <c r="A166" s="32"/>
      <c r="B166" s="24"/>
      <c r="C166" s="24"/>
      <c r="D166" s="17"/>
      <c r="E166" s="24"/>
      <c r="F166" s="24"/>
    </row>
    <row r="167" customFormat="false" ht="15" hidden="false" customHeight="false" outlineLevel="0" collapsed="false">
      <c r="A167" s="32"/>
      <c r="B167" s="24"/>
      <c r="C167" s="24"/>
      <c r="D167" s="17"/>
      <c r="E167" s="24"/>
      <c r="F167" s="24"/>
    </row>
    <row r="168" customFormat="false" ht="15" hidden="false" customHeight="false" outlineLevel="0" collapsed="false">
      <c r="A168" s="32"/>
      <c r="B168" s="24"/>
      <c r="C168" s="24"/>
      <c r="D168" s="17"/>
      <c r="E168" s="24"/>
      <c r="F168" s="24"/>
    </row>
    <row r="169" customFormat="false" ht="15" hidden="false" customHeight="false" outlineLevel="0" collapsed="false">
      <c r="A169" s="32"/>
      <c r="B169" s="24"/>
      <c r="C169" s="24"/>
      <c r="D169" s="17"/>
      <c r="E169" s="24"/>
      <c r="F169" s="24"/>
    </row>
    <row r="170" customFormat="false" ht="15" hidden="false" customHeight="false" outlineLevel="0" collapsed="false">
      <c r="A170" s="32"/>
      <c r="B170" s="24"/>
      <c r="C170" s="24"/>
      <c r="D170" s="17"/>
      <c r="E170" s="24"/>
      <c r="F170" s="24"/>
    </row>
    <row r="171" customFormat="false" ht="15" hidden="false" customHeight="false" outlineLevel="0" collapsed="false">
      <c r="A171" s="32"/>
      <c r="B171" s="24"/>
      <c r="C171" s="24"/>
      <c r="D171" s="17"/>
      <c r="E171" s="24"/>
      <c r="F171" s="24"/>
    </row>
    <row r="172" customFormat="false" ht="15" hidden="false" customHeight="false" outlineLevel="0" collapsed="false">
      <c r="A172" s="32"/>
      <c r="B172" s="24"/>
      <c r="C172" s="24"/>
      <c r="D172" s="17"/>
      <c r="E172" s="24"/>
      <c r="F172" s="24"/>
    </row>
    <row r="173" customFormat="false" ht="15" hidden="false" customHeight="false" outlineLevel="0" collapsed="false">
      <c r="A173" s="32"/>
      <c r="B173" s="24"/>
      <c r="C173" s="24"/>
      <c r="D173" s="17"/>
      <c r="E173" s="24"/>
      <c r="F173" s="24"/>
    </row>
    <row r="174" customFormat="false" ht="15" hidden="false" customHeight="false" outlineLevel="0" collapsed="false">
      <c r="A174" s="32"/>
      <c r="B174" s="24"/>
      <c r="C174" s="24"/>
      <c r="D174" s="17"/>
      <c r="E174" s="24"/>
      <c r="F174" s="24"/>
    </row>
    <row r="175" customFormat="false" ht="15" hidden="false" customHeight="false" outlineLevel="0" collapsed="false">
      <c r="A175" s="32"/>
      <c r="B175" s="24"/>
      <c r="C175" s="24"/>
      <c r="D175" s="17"/>
      <c r="E175" s="24"/>
      <c r="F175" s="24"/>
    </row>
    <row r="176" customFormat="false" ht="15" hidden="false" customHeight="false" outlineLevel="0" collapsed="false">
      <c r="A176" s="32"/>
      <c r="B176" s="24"/>
      <c r="C176" s="24"/>
      <c r="D176" s="17"/>
      <c r="E176" s="24"/>
      <c r="F176" s="24"/>
    </row>
    <row r="177" customFormat="false" ht="15" hidden="false" customHeight="false" outlineLevel="0" collapsed="false">
      <c r="A177" s="32"/>
      <c r="B177" s="24"/>
      <c r="C177" s="24"/>
      <c r="D177" s="17"/>
      <c r="E177" s="24"/>
      <c r="F177" s="24"/>
    </row>
    <row r="178" customFormat="false" ht="15" hidden="false" customHeight="false" outlineLevel="0" collapsed="false">
      <c r="A178" s="32"/>
      <c r="B178" s="24"/>
      <c r="C178" s="24"/>
      <c r="D178" s="17"/>
      <c r="E178" s="24"/>
      <c r="F178" s="24"/>
    </row>
    <row r="179" customFormat="false" ht="15" hidden="false" customHeight="false" outlineLevel="0" collapsed="false">
      <c r="A179" s="32"/>
      <c r="B179" s="24"/>
      <c r="C179" s="24"/>
      <c r="D179" s="17"/>
      <c r="E179" s="24"/>
      <c r="F179" s="24"/>
    </row>
    <row r="180" customFormat="false" ht="15" hidden="false" customHeight="false" outlineLevel="0" collapsed="false">
      <c r="A180" s="32"/>
      <c r="B180" s="24"/>
      <c r="C180" s="24"/>
      <c r="D180" s="17"/>
      <c r="E180" s="24"/>
      <c r="F180" s="24"/>
    </row>
    <row r="181" customFormat="false" ht="15" hidden="false" customHeight="false" outlineLevel="0" collapsed="false">
      <c r="A181" s="32"/>
      <c r="B181" s="24"/>
      <c r="C181" s="24"/>
      <c r="D181" s="17"/>
      <c r="E181" s="24"/>
      <c r="F181" s="24"/>
    </row>
    <row r="182" customFormat="false" ht="15" hidden="false" customHeight="false" outlineLevel="0" collapsed="false">
      <c r="A182" s="32"/>
      <c r="B182" s="24"/>
      <c r="C182" s="24"/>
      <c r="D182" s="17"/>
      <c r="E182" s="24"/>
      <c r="F182" s="24"/>
    </row>
    <row r="183" customFormat="false" ht="15" hidden="false" customHeight="false" outlineLevel="0" collapsed="false">
      <c r="A183" s="32"/>
      <c r="B183" s="24"/>
      <c r="C183" s="24"/>
      <c r="D183" s="17"/>
      <c r="E183" s="24"/>
      <c r="F183" s="24"/>
    </row>
    <row r="184" customFormat="false" ht="15" hidden="false" customHeight="false" outlineLevel="0" collapsed="false">
      <c r="A184" s="32"/>
      <c r="B184" s="24"/>
      <c r="C184" s="24"/>
      <c r="D184" s="17"/>
      <c r="E184" s="24"/>
      <c r="F184" s="24"/>
    </row>
    <row r="185" customFormat="false" ht="15" hidden="false" customHeight="false" outlineLevel="0" collapsed="false">
      <c r="A185" s="32"/>
      <c r="B185" s="24"/>
      <c r="C185" s="24"/>
      <c r="D185" s="17"/>
      <c r="E185" s="24"/>
      <c r="F185" s="24"/>
    </row>
    <row r="186" customFormat="false" ht="15" hidden="false" customHeight="false" outlineLevel="0" collapsed="false">
      <c r="A186" s="32"/>
      <c r="B186" s="24"/>
      <c r="C186" s="24"/>
      <c r="D186" s="17"/>
      <c r="E186" s="24"/>
      <c r="F186" s="24"/>
    </row>
    <row r="187" customFormat="false" ht="15" hidden="false" customHeight="false" outlineLevel="0" collapsed="false">
      <c r="A187" s="32"/>
      <c r="B187" s="24"/>
      <c r="C187" s="24"/>
      <c r="D187" s="17"/>
      <c r="E187" s="24"/>
      <c r="F187" s="24"/>
    </row>
    <row r="188" customFormat="false" ht="15" hidden="false" customHeight="false" outlineLevel="0" collapsed="false">
      <c r="A188" s="32"/>
      <c r="B188" s="24"/>
      <c r="C188" s="24"/>
      <c r="D188" s="17"/>
      <c r="E188" s="24"/>
      <c r="F188" s="24"/>
    </row>
    <row r="189" customFormat="false" ht="15" hidden="false" customHeight="false" outlineLevel="0" collapsed="false">
      <c r="A189" s="32"/>
      <c r="B189" s="24"/>
      <c r="C189" s="24"/>
      <c r="D189" s="17"/>
      <c r="E189" s="24"/>
      <c r="F189" s="24"/>
    </row>
    <row r="190" customFormat="false" ht="15" hidden="false" customHeight="false" outlineLevel="0" collapsed="false">
      <c r="A190" s="32"/>
      <c r="B190" s="24"/>
      <c r="C190" s="24"/>
      <c r="D190" s="17"/>
      <c r="E190" s="24"/>
      <c r="F190" s="24"/>
    </row>
    <row r="191" customFormat="false" ht="15" hidden="false" customHeight="false" outlineLevel="0" collapsed="false">
      <c r="A191" s="32"/>
      <c r="B191" s="24"/>
      <c r="C191" s="24"/>
      <c r="D191" s="17"/>
      <c r="E191" s="24"/>
      <c r="F191" s="24"/>
    </row>
    <row r="192" customFormat="false" ht="15" hidden="false" customHeight="false" outlineLevel="0" collapsed="false">
      <c r="A192" s="32"/>
      <c r="B192" s="24"/>
      <c r="C192" s="24"/>
      <c r="D192" s="17"/>
      <c r="E192" s="24"/>
      <c r="F192" s="24"/>
    </row>
    <row r="193" customFormat="false" ht="15" hidden="false" customHeight="false" outlineLevel="0" collapsed="false">
      <c r="A193" s="32"/>
      <c r="B193" s="24"/>
      <c r="C193" s="24"/>
      <c r="D193" s="17"/>
      <c r="E193" s="24"/>
      <c r="F193" s="24"/>
    </row>
    <row r="194" customFormat="false" ht="15" hidden="false" customHeight="false" outlineLevel="0" collapsed="false">
      <c r="A194" s="32"/>
      <c r="B194" s="24"/>
      <c r="C194" s="24"/>
      <c r="D194" s="17"/>
      <c r="E194" s="24"/>
      <c r="F194" s="24"/>
    </row>
    <row r="195" customFormat="false" ht="15" hidden="false" customHeight="false" outlineLevel="0" collapsed="false">
      <c r="A195" s="32"/>
      <c r="B195" s="24"/>
      <c r="C195" s="24"/>
      <c r="D195" s="17"/>
      <c r="E195" s="24"/>
      <c r="F195" s="24"/>
    </row>
    <row r="196" customFormat="false" ht="15" hidden="false" customHeight="false" outlineLevel="0" collapsed="false">
      <c r="A196" s="32"/>
      <c r="B196" s="24"/>
      <c r="C196" s="24"/>
      <c r="D196" s="17"/>
      <c r="E196" s="24"/>
      <c r="F196" s="24"/>
    </row>
    <row r="197" customFormat="false" ht="15" hidden="false" customHeight="false" outlineLevel="0" collapsed="false">
      <c r="A197" s="32"/>
      <c r="B197" s="24"/>
      <c r="C197" s="24"/>
      <c r="D197" s="17"/>
      <c r="E197" s="24"/>
      <c r="F197" s="24"/>
    </row>
    <row r="198" customFormat="false" ht="15" hidden="false" customHeight="false" outlineLevel="0" collapsed="false">
      <c r="A198" s="32"/>
      <c r="B198" s="24"/>
      <c r="C198" s="24"/>
      <c r="D198" s="17"/>
      <c r="E198" s="24"/>
      <c r="F198" s="24"/>
    </row>
    <row r="199" customFormat="false" ht="15" hidden="false" customHeight="false" outlineLevel="0" collapsed="false">
      <c r="A199" s="32"/>
      <c r="B199" s="24"/>
      <c r="C199" s="24"/>
      <c r="D199" s="17"/>
      <c r="E199" s="24"/>
      <c r="F199" s="24"/>
    </row>
    <row r="200" customFormat="false" ht="15" hidden="false" customHeight="false" outlineLevel="0" collapsed="false">
      <c r="A200" s="32"/>
      <c r="B200" s="24"/>
      <c r="C200" s="24"/>
      <c r="D200" s="17"/>
      <c r="E200" s="24"/>
      <c r="F200" s="24"/>
    </row>
    <row r="201" customFormat="false" ht="15" hidden="false" customHeight="false" outlineLevel="0" collapsed="false">
      <c r="A201" s="32"/>
      <c r="B201" s="24"/>
      <c r="C201" s="24"/>
      <c r="D201" s="17"/>
      <c r="E201" s="24"/>
      <c r="F201" s="24"/>
    </row>
    <row r="202" customFormat="false" ht="15" hidden="false" customHeight="false" outlineLevel="0" collapsed="false">
      <c r="A202" s="32"/>
      <c r="B202" s="24"/>
      <c r="C202" s="24"/>
      <c r="D202" s="17"/>
      <c r="E202" s="24"/>
      <c r="F202" s="24"/>
    </row>
    <row r="203" customFormat="false" ht="15" hidden="false" customHeight="false" outlineLevel="0" collapsed="false">
      <c r="A203" s="32"/>
      <c r="B203" s="24"/>
      <c r="C203" s="24"/>
      <c r="D203" s="17"/>
      <c r="E203" s="24"/>
      <c r="F203" s="24"/>
    </row>
    <row r="204" customFormat="false" ht="15" hidden="false" customHeight="false" outlineLevel="0" collapsed="false">
      <c r="A204" s="32"/>
      <c r="B204" s="24"/>
      <c r="C204" s="24"/>
      <c r="D204" s="17"/>
      <c r="E204" s="24"/>
      <c r="F204" s="24"/>
    </row>
  </sheetData>
  <dataValidations count="1">
    <dataValidation allowBlank="true" errorStyle="stop" operator="between" showDropDown="false" showErrorMessage="false" showInputMessage="false" sqref="B5:B204" type="list">
      <formula1>"Campus,Staff,System,Web,Miscellaneous (transport and other),Accommodation and food"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4" t="s">
        <v>120</v>
      </c>
      <c r="B1" s="4" t="s">
        <v>111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5</v>
      </c>
      <c r="I1" s="4" t="s">
        <v>126</v>
      </c>
      <c r="J1" s="4" t="s">
        <v>127</v>
      </c>
      <c r="K1" s="4" t="s">
        <v>4</v>
      </c>
      <c r="L1" s="4" t="s">
        <v>10</v>
      </c>
      <c r="M1" s="4" t="s">
        <v>128</v>
      </c>
    </row>
    <row r="2" customFormat="false" ht="15" hidden="false" customHeight="false" outlineLevel="0" collapsed="false">
      <c r="A2" s="33" t="n">
        <v>1</v>
      </c>
      <c r="B2" s="34" t="n">
        <v>46325</v>
      </c>
      <c r="C2" s="33" t="str">
        <f aca="false">TEXT(B2,"dddd")</f>
        <v>Friday</v>
      </c>
      <c r="D2" s="33" t="n">
        <f aca="false">INT((A2-1)/6)+1</f>
        <v>1</v>
      </c>
      <c r="E2" s="35" t="n">
        <v>0.354166666666667</v>
      </c>
      <c r="F2" s="35" t="n">
        <v>0.375</v>
      </c>
      <c r="G2" s="33" t="str">
        <f aca="false">TEXT(E2,"h:mm")&amp;" to "&amp;TEXT(F2,"h:mm")</f>
        <v>8:30 to 9:00</v>
      </c>
      <c r="H2" s="36" t="n">
        <f aca="false">ROUND((F2-E2)*24,2)</f>
        <v>0.5</v>
      </c>
      <c r="I2" s="37" t="s">
        <v>129</v>
      </c>
      <c r="J2" s="38" t="s">
        <v>37</v>
      </c>
      <c r="K2" s="33"/>
      <c r="L2" s="33"/>
      <c r="M2" s="39" t="s">
        <v>130</v>
      </c>
    </row>
    <row r="3" customFormat="false" ht="23.85" hidden="false" customHeight="false" outlineLevel="0" collapsed="false">
      <c r="A3" s="33" t="n">
        <v>1</v>
      </c>
      <c r="B3" s="34" t="n">
        <v>46325</v>
      </c>
      <c r="C3" s="33" t="str">
        <f aca="false">TEXT(B3,"dddd")</f>
        <v>Friday</v>
      </c>
      <c r="D3" s="33" t="n">
        <f aca="false">INT((A3-1)/6)+1</f>
        <v>1</v>
      </c>
      <c r="E3" s="35" t="n">
        <v>0.375</v>
      </c>
      <c r="F3" s="35" t="n">
        <v>0.447916666666667</v>
      </c>
      <c r="G3" s="33" t="str">
        <f aca="false">TEXT(E3,"h:mm")&amp;" to "&amp;TEXT(F3,"h:mm")</f>
        <v>9:00 to 10:45</v>
      </c>
      <c r="H3" s="36" t="n">
        <f aca="false">ROUND((F3-E3)*24,2)</f>
        <v>1.75</v>
      </c>
      <c r="I3" s="40" t="s">
        <v>131</v>
      </c>
      <c r="J3" s="41" t="s">
        <v>35</v>
      </c>
      <c r="K3" s="33" t="s">
        <v>7</v>
      </c>
      <c r="L3" s="33"/>
      <c r="M3" s="39" t="s">
        <v>132</v>
      </c>
    </row>
    <row r="4" customFormat="false" ht="15" hidden="false" customHeight="false" outlineLevel="0" collapsed="false">
      <c r="A4" s="33" t="n">
        <v>1</v>
      </c>
      <c r="B4" s="34" t="n">
        <v>46325</v>
      </c>
      <c r="C4" s="33" t="str">
        <f aca="false">TEXT(B4,"dddd")</f>
        <v>Friday</v>
      </c>
      <c r="D4" s="33" t="n">
        <f aca="false">INT((A4-1)/6)+1</f>
        <v>1</v>
      </c>
      <c r="E4" s="35" t="n">
        <v>0.447916666666667</v>
      </c>
      <c r="F4" s="35" t="n">
        <v>0.458333333333333</v>
      </c>
      <c r="G4" s="33" t="str">
        <f aca="false">TEXT(E4,"h:mm")&amp;" to "&amp;TEXT(F4,"h:mm")</f>
        <v>10:45 to 11:00</v>
      </c>
      <c r="H4" s="36" t="n">
        <f aca="false">ROUND((F4-E4)*24,2)</f>
        <v>0.25</v>
      </c>
      <c r="I4" s="37" t="s">
        <v>133</v>
      </c>
      <c r="J4" s="38" t="s">
        <v>36</v>
      </c>
      <c r="K4" s="33"/>
      <c r="L4" s="33"/>
      <c r="M4" s="39"/>
    </row>
    <row r="5" customFormat="false" ht="15" hidden="false" customHeight="false" outlineLevel="0" collapsed="false">
      <c r="A5" s="33" t="n">
        <v>1</v>
      </c>
      <c r="B5" s="34" t="n">
        <v>46325</v>
      </c>
      <c r="C5" s="33" t="str">
        <f aca="false">TEXT(B5,"dddd")</f>
        <v>Friday</v>
      </c>
      <c r="D5" s="33" t="n">
        <f aca="false">INT((A5-1)/6)+1</f>
        <v>1</v>
      </c>
      <c r="E5" s="35" t="n">
        <v>0.458333333333333</v>
      </c>
      <c r="F5" s="35" t="n">
        <v>0.479166666666667</v>
      </c>
      <c r="G5" s="33" t="str">
        <f aca="false">TEXT(E5,"h:mm")&amp;" to "&amp;TEXT(F5,"h:mm")</f>
        <v>11:00 to 11:30</v>
      </c>
      <c r="H5" s="36" t="n">
        <f aca="false">ROUND((F5-E5)*24,2)</f>
        <v>0.5</v>
      </c>
      <c r="I5" s="42" t="s">
        <v>134</v>
      </c>
      <c r="J5" s="43" t="s">
        <v>34</v>
      </c>
      <c r="K5" s="33" t="s">
        <v>7</v>
      </c>
      <c r="L5" s="33"/>
      <c r="M5" s="39" t="s">
        <v>135</v>
      </c>
    </row>
    <row r="6" customFormat="false" ht="15" hidden="false" customHeight="false" outlineLevel="0" collapsed="false">
      <c r="A6" s="33" t="n">
        <v>1</v>
      </c>
      <c r="B6" s="34" t="n">
        <v>46325</v>
      </c>
      <c r="C6" s="33" t="str">
        <f aca="false">TEXT(B6,"dddd")</f>
        <v>Friday</v>
      </c>
      <c r="D6" s="33" t="n">
        <f aca="false">INT((A6-1)/6)+1</f>
        <v>1</v>
      </c>
      <c r="E6" s="35" t="n">
        <v>0.479166666666667</v>
      </c>
      <c r="F6" s="35" t="n">
        <v>0.541666666666667</v>
      </c>
      <c r="G6" s="33" t="str">
        <f aca="false">TEXT(E6,"h:mm")&amp;" to "&amp;TEXT(F6,"h:mm")</f>
        <v>11:30 to 13:00</v>
      </c>
      <c r="H6" s="36" t="n">
        <f aca="false">ROUND((F6-E6)*24,2)</f>
        <v>1.5</v>
      </c>
      <c r="I6" s="37" t="s">
        <v>136</v>
      </c>
      <c r="J6" s="38" t="s">
        <v>36</v>
      </c>
      <c r="K6" s="33"/>
      <c r="L6" s="33"/>
      <c r="M6" s="39"/>
    </row>
    <row r="7" customFormat="false" ht="23.85" hidden="false" customHeight="false" outlineLevel="0" collapsed="false">
      <c r="A7" s="33" t="n">
        <v>1</v>
      </c>
      <c r="B7" s="34" t="n">
        <v>46325</v>
      </c>
      <c r="C7" s="33" t="str">
        <f aca="false">TEXT(B7,"dddd")</f>
        <v>Friday</v>
      </c>
      <c r="D7" s="33" t="n">
        <f aca="false">INT((A7-1)/6)+1</f>
        <v>1</v>
      </c>
      <c r="E7" s="35" t="n">
        <v>0.541666666666667</v>
      </c>
      <c r="F7" s="35" t="n">
        <v>0.583333333333333</v>
      </c>
      <c r="G7" s="33" t="str">
        <f aca="false">TEXT(E7,"h:mm")&amp;" to "&amp;TEXT(F7,"h:mm")</f>
        <v>13:00 to 14:00</v>
      </c>
      <c r="H7" s="36" t="n">
        <f aca="false">ROUND((F7-E7)*24,2)</f>
        <v>1</v>
      </c>
      <c r="I7" s="40" t="s">
        <v>137</v>
      </c>
      <c r="J7" s="41" t="s">
        <v>35</v>
      </c>
      <c r="K7" s="33" t="s">
        <v>7</v>
      </c>
      <c r="L7" s="33" t="s">
        <v>19</v>
      </c>
      <c r="M7" s="39" t="s">
        <v>138</v>
      </c>
    </row>
    <row r="8" customFormat="false" ht="15" hidden="false" customHeight="false" outlineLevel="0" collapsed="false">
      <c r="A8" s="33" t="n">
        <v>1</v>
      </c>
      <c r="B8" s="34" t="n">
        <v>46325</v>
      </c>
      <c r="C8" s="33" t="str">
        <f aca="false">TEXT(B8,"dddd")</f>
        <v>Friday</v>
      </c>
      <c r="D8" s="33" t="n">
        <f aca="false">INT((A8-1)/6)+1</f>
        <v>1</v>
      </c>
      <c r="E8" s="35" t="n">
        <v>0.583333333333333</v>
      </c>
      <c r="F8" s="35" t="n">
        <v>0.59375</v>
      </c>
      <c r="G8" s="33" t="str">
        <f aca="false">TEXT(E8,"h:mm")&amp;" to "&amp;TEXT(F8,"h:mm")</f>
        <v>14:00 to 14:15</v>
      </c>
      <c r="H8" s="36" t="n">
        <f aca="false">ROUND((F8-E8)*24,2)</f>
        <v>0.25</v>
      </c>
      <c r="I8" s="37" t="s">
        <v>139</v>
      </c>
      <c r="J8" s="38" t="s">
        <v>36</v>
      </c>
      <c r="K8" s="33"/>
      <c r="L8" s="33"/>
      <c r="M8" s="39"/>
    </row>
    <row r="9" customFormat="false" ht="35.05" hidden="false" customHeight="false" outlineLevel="0" collapsed="false">
      <c r="A9" s="33" t="n">
        <v>1</v>
      </c>
      <c r="B9" s="34" t="n">
        <v>46325</v>
      </c>
      <c r="C9" s="33" t="str">
        <f aca="false">TEXT(B9,"dddd")</f>
        <v>Friday</v>
      </c>
      <c r="D9" s="33" t="n">
        <f aca="false">INT((A9-1)/6)+1</f>
        <v>1</v>
      </c>
      <c r="E9" s="35" t="n">
        <v>0.59375</v>
      </c>
      <c r="F9" s="35" t="n">
        <v>0.6875</v>
      </c>
      <c r="G9" s="33" t="str">
        <f aca="false">TEXT(E9,"h:mm")&amp;" to "&amp;TEXT(F9,"h:mm")</f>
        <v>14:15 to 16:30</v>
      </c>
      <c r="H9" s="36" t="n">
        <f aca="false">ROUND((F9-E9)*24,2)</f>
        <v>2.25</v>
      </c>
      <c r="I9" s="44" t="s">
        <v>140</v>
      </c>
      <c r="J9" s="45" t="s">
        <v>31</v>
      </c>
      <c r="K9" s="33" t="s">
        <v>7</v>
      </c>
      <c r="L9" s="33" t="s">
        <v>19</v>
      </c>
      <c r="M9" s="39" t="s">
        <v>141</v>
      </c>
    </row>
    <row r="10" customFormat="false" ht="15" hidden="false" customHeight="false" outlineLevel="0" collapsed="false">
      <c r="A10" s="33" t="n">
        <v>1</v>
      </c>
      <c r="B10" s="34" t="n">
        <v>46325</v>
      </c>
      <c r="C10" s="33" t="str">
        <f aca="false">TEXT(B10,"dddd")</f>
        <v>Friday</v>
      </c>
      <c r="D10" s="33" t="n">
        <f aca="false">INT((A10-1)/6)+1</f>
        <v>1</v>
      </c>
      <c r="E10" s="35" t="n">
        <v>0.770833333333333</v>
      </c>
      <c r="F10" s="35" t="n">
        <v>0.8125</v>
      </c>
      <c r="G10" s="33" t="str">
        <f aca="false">TEXT(E10,"h:mm")&amp;" to "&amp;TEXT(F10,"h:mm")</f>
        <v>18:30 to 19:30</v>
      </c>
      <c r="H10" s="36" t="n">
        <f aca="false">ROUND((F10-E10)*24,2)</f>
        <v>1</v>
      </c>
      <c r="I10" s="42" t="s">
        <v>142</v>
      </c>
      <c r="J10" s="43" t="s">
        <v>34</v>
      </c>
      <c r="K10" s="33"/>
      <c r="L10" s="33"/>
      <c r="M10" s="39" t="s">
        <v>143</v>
      </c>
    </row>
    <row r="11" customFormat="false" ht="23.85" hidden="false" customHeight="false" outlineLevel="0" collapsed="false">
      <c r="A11" s="33" t="n">
        <v>2</v>
      </c>
      <c r="B11" s="34" t="n">
        <v>46326</v>
      </c>
      <c r="C11" s="33" t="str">
        <f aca="false">TEXT(B11,"dddd")</f>
        <v>Saturday</v>
      </c>
      <c r="D11" s="33" t="n">
        <f aca="false">INT((A11-1)/6)+1</f>
        <v>1</v>
      </c>
      <c r="E11" s="35" t="n">
        <v>0.354166666666667</v>
      </c>
      <c r="F11" s="35" t="n">
        <v>0.416666666666667</v>
      </c>
      <c r="G11" s="33" t="str">
        <f aca="false">TEXT(E11,"h:mm")&amp;" to "&amp;TEXT(F11,"h:mm")</f>
        <v>8:30 to 10:00</v>
      </c>
      <c r="H11" s="36" t="n">
        <f aca="false">ROUND((F11-E11)*24,2)</f>
        <v>1.5</v>
      </c>
      <c r="I11" s="46" t="s">
        <v>144</v>
      </c>
      <c r="J11" s="47" t="s">
        <v>32</v>
      </c>
      <c r="K11" s="33" t="s">
        <v>8</v>
      </c>
      <c r="L11" s="33" t="s">
        <v>26</v>
      </c>
      <c r="M11" s="39" t="s">
        <v>145</v>
      </c>
    </row>
    <row r="12" customFormat="false" ht="15" hidden="false" customHeight="false" outlineLevel="0" collapsed="false">
      <c r="A12" s="33" t="n">
        <v>2</v>
      </c>
      <c r="B12" s="34" t="n">
        <v>46326</v>
      </c>
      <c r="C12" s="33" t="str">
        <f aca="false">TEXT(B12,"dddd")</f>
        <v>Saturday</v>
      </c>
      <c r="D12" s="33" t="n">
        <f aca="false">INT((A12-1)/6)+1</f>
        <v>1</v>
      </c>
      <c r="E12" s="35" t="n">
        <v>0.416666666666667</v>
      </c>
      <c r="F12" s="35" t="n">
        <v>0.427083333333333</v>
      </c>
      <c r="G12" s="33" t="str">
        <f aca="false">TEXT(E12,"h:mm")&amp;" to "&amp;TEXT(F12,"h:mm")</f>
        <v>10:00 to 10:15</v>
      </c>
      <c r="H12" s="36" t="n">
        <f aca="false">ROUND((F12-E12)*24,2)</f>
        <v>0.25</v>
      </c>
      <c r="I12" s="37" t="s">
        <v>133</v>
      </c>
      <c r="J12" s="38" t="s">
        <v>36</v>
      </c>
      <c r="K12" s="33"/>
      <c r="L12" s="33"/>
      <c r="M12" s="39"/>
    </row>
    <row r="13" customFormat="false" ht="23.85" hidden="false" customHeight="false" outlineLevel="0" collapsed="false">
      <c r="A13" s="33" t="n">
        <v>2</v>
      </c>
      <c r="B13" s="34" t="n">
        <v>46326</v>
      </c>
      <c r="C13" s="33" t="str">
        <f aca="false">TEXT(B13,"dddd")</f>
        <v>Saturday</v>
      </c>
      <c r="D13" s="33" t="n">
        <f aca="false">INT((A13-1)/6)+1</f>
        <v>1</v>
      </c>
      <c r="E13" s="35" t="n">
        <v>0.427083333333333</v>
      </c>
      <c r="F13" s="35" t="n">
        <v>0.479166666666667</v>
      </c>
      <c r="G13" s="33" t="str">
        <f aca="false">TEXT(E13,"h:mm")&amp;" to "&amp;TEXT(F13,"h:mm")</f>
        <v>10:15 to 11:30</v>
      </c>
      <c r="H13" s="36" t="n">
        <f aca="false">ROUND((F13-E13)*24,2)</f>
        <v>1.25</v>
      </c>
      <c r="I13" s="46" t="s">
        <v>146</v>
      </c>
      <c r="J13" s="47" t="s">
        <v>32</v>
      </c>
      <c r="K13" s="33" t="s">
        <v>8</v>
      </c>
      <c r="L13" s="33" t="s">
        <v>26</v>
      </c>
      <c r="M13" s="39" t="s">
        <v>145</v>
      </c>
    </row>
    <row r="14" customFormat="false" ht="15" hidden="false" customHeight="false" outlineLevel="0" collapsed="false">
      <c r="A14" s="33" t="n">
        <v>2</v>
      </c>
      <c r="B14" s="34" t="n">
        <v>46326</v>
      </c>
      <c r="C14" s="33" t="str">
        <f aca="false">TEXT(B14,"dddd")</f>
        <v>Saturday</v>
      </c>
      <c r="D14" s="33" t="n">
        <f aca="false">INT((A14-1)/6)+1</f>
        <v>1</v>
      </c>
      <c r="E14" s="35" t="n">
        <v>0.479166666666667</v>
      </c>
      <c r="F14" s="35" t="n">
        <v>0.541666666666667</v>
      </c>
      <c r="G14" s="33" t="str">
        <f aca="false">TEXT(E14,"h:mm")&amp;" to "&amp;TEXT(F14,"h:mm")</f>
        <v>11:30 to 13:00</v>
      </c>
      <c r="H14" s="36" t="n">
        <f aca="false">ROUND((F14-E14)*24,2)</f>
        <v>1.5</v>
      </c>
      <c r="I14" s="37" t="s">
        <v>136</v>
      </c>
      <c r="J14" s="38" t="s">
        <v>36</v>
      </c>
      <c r="K14" s="33"/>
      <c r="L14" s="33"/>
      <c r="M14" s="39"/>
    </row>
    <row r="15" customFormat="false" ht="15" hidden="false" customHeight="false" outlineLevel="0" collapsed="false">
      <c r="A15" s="33" t="n">
        <v>2</v>
      </c>
      <c r="B15" s="34" t="n">
        <v>46326</v>
      </c>
      <c r="C15" s="33" t="str">
        <f aca="false">TEXT(B15,"dddd")</f>
        <v>Saturday</v>
      </c>
      <c r="D15" s="33" t="n">
        <f aca="false">INT((A15-1)/6)+1</f>
        <v>1</v>
      </c>
      <c r="E15" s="35" t="n">
        <v>0.541666666666667</v>
      </c>
      <c r="F15" s="35" t="n">
        <v>0.604166666666667</v>
      </c>
      <c r="G15" s="33" t="str">
        <f aca="false">TEXT(E15,"h:mm")&amp;" to "&amp;TEXT(F15,"h:mm")</f>
        <v>13:00 to 14:30</v>
      </c>
      <c r="H15" s="36" t="n">
        <f aca="false">ROUND((F15-E15)*24,2)</f>
        <v>1.5</v>
      </c>
      <c r="I15" s="46" t="s">
        <v>147</v>
      </c>
      <c r="J15" s="47" t="s">
        <v>32</v>
      </c>
      <c r="K15" s="33" t="s">
        <v>8</v>
      </c>
      <c r="L15" s="33" t="s">
        <v>28</v>
      </c>
      <c r="M15" s="39" t="s">
        <v>145</v>
      </c>
    </row>
    <row r="16" customFormat="false" ht="15" hidden="false" customHeight="false" outlineLevel="0" collapsed="false">
      <c r="A16" s="33" t="n">
        <v>2</v>
      </c>
      <c r="B16" s="34" t="n">
        <v>46326</v>
      </c>
      <c r="C16" s="33" t="str">
        <f aca="false">TEXT(B16,"dddd")</f>
        <v>Saturday</v>
      </c>
      <c r="D16" s="33" t="n">
        <f aca="false">INT((A16-1)/6)+1</f>
        <v>1</v>
      </c>
      <c r="E16" s="35" t="n">
        <v>0.604166666666667</v>
      </c>
      <c r="F16" s="35" t="n">
        <v>0.614583333333333</v>
      </c>
      <c r="G16" s="33" t="str">
        <f aca="false">TEXT(E16,"h:mm")&amp;" to "&amp;TEXT(F16,"h:mm")</f>
        <v>14:30 to 14:45</v>
      </c>
      <c r="H16" s="36" t="n">
        <f aca="false">ROUND((F16-E16)*24,2)</f>
        <v>0.25</v>
      </c>
      <c r="I16" s="37" t="s">
        <v>139</v>
      </c>
      <c r="J16" s="38" t="s">
        <v>36</v>
      </c>
      <c r="K16" s="33"/>
      <c r="L16" s="33"/>
      <c r="M16" s="39"/>
    </row>
    <row r="17" customFormat="false" ht="15" hidden="false" customHeight="false" outlineLevel="0" collapsed="false">
      <c r="A17" s="33" t="n">
        <v>2</v>
      </c>
      <c r="B17" s="34" t="n">
        <v>46326</v>
      </c>
      <c r="C17" s="33" t="str">
        <f aca="false">TEXT(B17,"dddd")</f>
        <v>Saturday</v>
      </c>
      <c r="D17" s="33" t="n">
        <f aca="false">INT((A17-1)/6)+1</f>
        <v>1</v>
      </c>
      <c r="E17" s="35" t="n">
        <v>0.614583333333333</v>
      </c>
      <c r="F17" s="35" t="n">
        <v>0.645833333333333</v>
      </c>
      <c r="G17" s="33" t="str">
        <f aca="false">TEXT(E17,"h:mm")&amp;" to "&amp;TEXT(F17,"h:mm")</f>
        <v>14:45 to 15:30</v>
      </c>
      <c r="H17" s="36" t="n">
        <f aca="false">ROUND((F17-E17)*24,2)</f>
        <v>0.75</v>
      </c>
      <c r="I17" s="46" t="s">
        <v>148</v>
      </c>
      <c r="J17" s="47" t="s">
        <v>32</v>
      </c>
      <c r="K17" s="33" t="s">
        <v>8</v>
      </c>
      <c r="L17" s="33" t="s">
        <v>28</v>
      </c>
      <c r="M17" s="39"/>
    </row>
    <row r="18" customFormat="false" ht="23.85" hidden="false" customHeight="false" outlineLevel="0" collapsed="false">
      <c r="A18" s="33" t="n">
        <v>2</v>
      </c>
      <c r="B18" s="34" t="n">
        <v>46326</v>
      </c>
      <c r="C18" s="33" t="str">
        <f aca="false">TEXT(B18,"dddd")</f>
        <v>Saturday</v>
      </c>
      <c r="D18" s="33" t="n">
        <f aca="false">INT((A18-1)/6)+1</f>
        <v>1</v>
      </c>
      <c r="E18" s="35" t="n">
        <v>0.645833333333333</v>
      </c>
      <c r="F18" s="35" t="n">
        <v>0.6875</v>
      </c>
      <c r="G18" s="33" t="str">
        <f aca="false">TEXT(E18,"h:mm")&amp;" to "&amp;TEXT(F18,"h:mm")</f>
        <v>15:30 to 16:30</v>
      </c>
      <c r="H18" s="36" t="n">
        <f aca="false">ROUND((F18-E18)*24,2)</f>
        <v>1</v>
      </c>
      <c r="I18" s="48" t="s">
        <v>149</v>
      </c>
      <c r="J18" s="49" t="s">
        <v>33</v>
      </c>
      <c r="K18" s="33" t="s">
        <v>8</v>
      </c>
      <c r="L18" s="33" t="s">
        <v>28</v>
      </c>
      <c r="M18" s="39" t="s">
        <v>150</v>
      </c>
    </row>
    <row r="19" customFormat="false" ht="15" hidden="false" customHeight="false" outlineLevel="0" collapsed="false">
      <c r="A19" s="33" t="n">
        <v>3</v>
      </c>
      <c r="B19" s="34" t="n">
        <v>46327</v>
      </c>
      <c r="C19" s="33" t="str">
        <f aca="false">TEXT(B19,"dddd")</f>
        <v>Sunday</v>
      </c>
      <c r="D19" s="33" t="n">
        <f aca="false">INT((A19-1)/6)+1</f>
        <v>1</v>
      </c>
      <c r="E19" s="35" t="n">
        <v>0.354166666666667</v>
      </c>
      <c r="F19" s="35" t="n">
        <v>0.416666666666667</v>
      </c>
      <c r="G19" s="33" t="str">
        <f aca="false">TEXT(E19,"h:mm")&amp;" to "&amp;TEXT(F19,"h:mm")</f>
        <v>8:30 to 10:00</v>
      </c>
      <c r="H19" s="36" t="n">
        <f aca="false">ROUND((F19-E19)*24,2)</f>
        <v>1.5</v>
      </c>
      <c r="I19" s="46" t="s">
        <v>151</v>
      </c>
      <c r="J19" s="47" t="s">
        <v>32</v>
      </c>
      <c r="K19" s="33" t="s">
        <v>8</v>
      </c>
      <c r="L19" s="33" t="s">
        <v>26</v>
      </c>
      <c r="M19" s="39" t="s">
        <v>145</v>
      </c>
    </row>
    <row r="20" customFormat="false" ht="15" hidden="false" customHeight="false" outlineLevel="0" collapsed="false">
      <c r="A20" s="33" t="n">
        <v>3</v>
      </c>
      <c r="B20" s="34" t="n">
        <v>46327</v>
      </c>
      <c r="C20" s="33" t="str">
        <f aca="false">TEXT(B20,"dddd")</f>
        <v>Sunday</v>
      </c>
      <c r="D20" s="33" t="n">
        <f aca="false">INT((A20-1)/6)+1</f>
        <v>1</v>
      </c>
      <c r="E20" s="35" t="n">
        <v>0.416666666666667</v>
      </c>
      <c r="F20" s="35" t="n">
        <v>0.427083333333333</v>
      </c>
      <c r="G20" s="33" t="str">
        <f aca="false">TEXT(E20,"h:mm")&amp;" to "&amp;TEXT(F20,"h:mm")</f>
        <v>10:00 to 10:15</v>
      </c>
      <c r="H20" s="36" t="n">
        <f aca="false">ROUND((F20-E20)*24,2)</f>
        <v>0.25</v>
      </c>
      <c r="I20" s="37" t="s">
        <v>133</v>
      </c>
      <c r="J20" s="38" t="s">
        <v>36</v>
      </c>
      <c r="K20" s="33"/>
      <c r="L20" s="33"/>
      <c r="M20" s="39"/>
    </row>
    <row r="21" customFormat="false" ht="15" hidden="false" customHeight="false" outlineLevel="0" collapsed="false">
      <c r="A21" s="33" t="n">
        <v>3</v>
      </c>
      <c r="B21" s="34" t="n">
        <v>46327</v>
      </c>
      <c r="C21" s="33" t="str">
        <f aca="false">TEXT(B21,"dddd")</f>
        <v>Sunday</v>
      </c>
      <c r="D21" s="33" t="n">
        <f aca="false">INT((A21-1)/6)+1</f>
        <v>1</v>
      </c>
      <c r="E21" s="35" t="n">
        <v>0.427083333333333</v>
      </c>
      <c r="F21" s="35" t="n">
        <v>0.479166666666667</v>
      </c>
      <c r="G21" s="33" t="str">
        <f aca="false">TEXT(E21,"h:mm")&amp;" to "&amp;TEXT(F21,"h:mm")</f>
        <v>10:15 to 11:30</v>
      </c>
      <c r="H21" s="36" t="n">
        <f aca="false">ROUND((F21-E21)*24,2)</f>
        <v>1.25</v>
      </c>
      <c r="I21" s="46" t="s">
        <v>152</v>
      </c>
      <c r="J21" s="47" t="s">
        <v>32</v>
      </c>
      <c r="K21" s="33" t="s">
        <v>8</v>
      </c>
      <c r="L21" s="33" t="s">
        <v>26</v>
      </c>
      <c r="M21" s="39" t="s">
        <v>145</v>
      </c>
    </row>
    <row r="22" customFormat="false" ht="15" hidden="false" customHeight="false" outlineLevel="0" collapsed="false">
      <c r="A22" s="33" t="n">
        <v>3</v>
      </c>
      <c r="B22" s="34" t="n">
        <v>46327</v>
      </c>
      <c r="C22" s="33" t="str">
        <f aca="false">TEXT(B22,"dddd")</f>
        <v>Sunday</v>
      </c>
      <c r="D22" s="33" t="n">
        <f aca="false">INT((A22-1)/6)+1</f>
        <v>1</v>
      </c>
      <c r="E22" s="35" t="n">
        <v>0.479166666666667</v>
      </c>
      <c r="F22" s="35" t="n">
        <v>0.541666666666667</v>
      </c>
      <c r="G22" s="33" t="str">
        <f aca="false">TEXT(E22,"h:mm")&amp;" to "&amp;TEXT(F22,"h:mm")</f>
        <v>11:30 to 13:00</v>
      </c>
      <c r="H22" s="36" t="n">
        <f aca="false">ROUND((F22-E22)*24,2)</f>
        <v>1.5</v>
      </c>
      <c r="I22" s="37" t="s">
        <v>136</v>
      </c>
      <c r="J22" s="38" t="s">
        <v>36</v>
      </c>
      <c r="K22" s="33"/>
      <c r="L22" s="33"/>
      <c r="M22" s="39"/>
    </row>
    <row r="23" customFormat="false" ht="15" hidden="false" customHeight="false" outlineLevel="0" collapsed="false">
      <c r="A23" s="33" t="n">
        <v>3</v>
      </c>
      <c r="B23" s="34" t="n">
        <v>46327</v>
      </c>
      <c r="C23" s="33" t="str">
        <f aca="false">TEXT(B23,"dddd")</f>
        <v>Sunday</v>
      </c>
      <c r="D23" s="33" t="n">
        <f aca="false">INT((A23-1)/6)+1</f>
        <v>1</v>
      </c>
      <c r="E23" s="35" t="n">
        <v>0.541666666666667</v>
      </c>
      <c r="F23" s="35" t="n">
        <v>0.604166666666667</v>
      </c>
      <c r="G23" s="33" t="str">
        <f aca="false">TEXT(E23,"h:mm")&amp;" to "&amp;TEXT(F23,"h:mm")</f>
        <v>13:00 to 14:30</v>
      </c>
      <c r="H23" s="36" t="n">
        <f aca="false">ROUND((F23-E23)*24,2)</f>
        <v>1.5</v>
      </c>
      <c r="I23" s="46" t="s">
        <v>153</v>
      </c>
      <c r="J23" s="47" t="s">
        <v>32</v>
      </c>
      <c r="K23" s="33" t="s">
        <v>8</v>
      </c>
      <c r="L23" s="33" t="s">
        <v>28</v>
      </c>
      <c r="M23" s="39" t="s">
        <v>145</v>
      </c>
    </row>
    <row r="24" customFormat="false" ht="15" hidden="false" customHeight="false" outlineLevel="0" collapsed="false">
      <c r="A24" s="33" t="n">
        <v>3</v>
      </c>
      <c r="B24" s="34" t="n">
        <v>46327</v>
      </c>
      <c r="C24" s="33" t="str">
        <f aca="false">TEXT(B24,"dddd")</f>
        <v>Sunday</v>
      </c>
      <c r="D24" s="33" t="n">
        <f aca="false">INT((A24-1)/6)+1</f>
        <v>1</v>
      </c>
      <c r="E24" s="35" t="n">
        <v>0.604166666666667</v>
      </c>
      <c r="F24" s="35" t="n">
        <v>0.614583333333333</v>
      </c>
      <c r="G24" s="33" t="str">
        <f aca="false">TEXT(E24,"h:mm")&amp;" to "&amp;TEXT(F24,"h:mm")</f>
        <v>14:30 to 14:45</v>
      </c>
      <c r="H24" s="36" t="n">
        <f aca="false">ROUND((F24-E24)*24,2)</f>
        <v>0.25</v>
      </c>
      <c r="I24" s="37" t="s">
        <v>139</v>
      </c>
      <c r="J24" s="38" t="s">
        <v>36</v>
      </c>
      <c r="K24" s="33"/>
      <c r="L24" s="33"/>
      <c r="M24" s="39"/>
    </row>
    <row r="25" customFormat="false" ht="15" hidden="false" customHeight="false" outlineLevel="0" collapsed="false">
      <c r="A25" s="33" t="n">
        <v>3</v>
      </c>
      <c r="B25" s="34" t="n">
        <v>46327</v>
      </c>
      <c r="C25" s="33" t="str">
        <f aca="false">TEXT(B25,"dddd")</f>
        <v>Sunday</v>
      </c>
      <c r="D25" s="33" t="n">
        <f aca="false">INT((A25-1)/6)+1</f>
        <v>1</v>
      </c>
      <c r="E25" s="35" t="n">
        <v>0.614583333333333</v>
      </c>
      <c r="F25" s="35" t="n">
        <v>0.645833333333333</v>
      </c>
      <c r="G25" s="33" t="str">
        <f aca="false">TEXT(E25,"h:mm")&amp;" to "&amp;TEXT(F25,"h:mm")</f>
        <v>14:45 to 15:30</v>
      </c>
      <c r="H25" s="36" t="n">
        <f aca="false">ROUND((F25-E25)*24,2)</f>
        <v>0.75</v>
      </c>
      <c r="I25" s="46" t="s">
        <v>154</v>
      </c>
      <c r="J25" s="47" t="s">
        <v>32</v>
      </c>
      <c r="K25" s="33" t="s">
        <v>8</v>
      </c>
      <c r="L25" s="33" t="s">
        <v>28</v>
      </c>
      <c r="M25" s="39"/>
    </row>
    <row r="26" customFormat="false" ht="23.85" hidden="false" customHeight="false" outlineLevel="0" collapsed="false">
      <c r="A26" s="33" t="n">
        <v>3</v>
      </c>
      <c r="B26" s="34" t="n">
        <v>46327</v>
      </c>
      <c r="C26" s="33" t="str">
        <f aca="false">TEXT(B26,"dddd")</f>
        <v>Sunday</v>
      </c>
      <c r="D26" s="33" t="n">
        <f aca="false">INT((A26-1)/6)+1</f>
        <v>1</v>
      </c>
      <c r="E26" s="35" t="n">
        <v>0.645833333333333</v>
      </c>
      <c r="F26" s="35" t="n">
        <v>0.6875</v>
      </c>
      <c r="G26" s="33" t="str">
        <f aca="false">TEXT(E26,"h:mm")&amp;" to "&amp;TEXT(F26,"h:mm")</f>
        <v>15:30 to 16:30</v>
      </c>
      <c r="H26" s="36" t="n">
        <f aca="false">ROUND((F26-E26)*24,2)</f>
        <v>1</v>
      </c>
      <c r="I26" s="48" t="s">
        <v>149</v>
      </c>
      <c r="J26" s="49" t="s">
        <v>33</v>
      </c>
      <c r="K26" s="33" t="s">
        <v>8</v>
      </c>
      <c r="L26" s="33" t="s">
        <v>28</v>
      </c>
      <c r="M26" s="39" t="s">
        <v>155</v>
      </c>
    </row>
    <row r="27" customFormat="false" ht="35.05" hidden="false" customHeight="false" outlineLevel="0" collapsed="false">
      <c r="A27" s="33" t="n">
        <v>4</v>
      </c>
      <c r="B27" s="34" t="n">
        <v>46328</v>
      </c>
      <c r="C27" s="33" t="str">
        <f aca="false">TEXT(B27,"dddd")</f>
        <v>Monday</v>
      </c>
      <c r="D27" s="33" t="n">
        <f aca="false">INT((A27-1)/6)+1</f>
        <v>1</v>
      </c>
      <c r="E27" s="35" t="n">
        <v>0.354166666666667</v>
      </c>
      <c r="F27" s="35" t="n">
        <v>0.416666666666667</v>
      </c>
      <c r="G27" s="33" t="str">
        <f aca="false">TEXT(E27,"h:mm")&amp;" to "&amp;TEXT(F27,"h:mm")</f>
        <v>8:30 to 10:00</v>
      </c>
      <c r="H27" s="36" t="n">
        <f aca="false">ROUND((F27-E27)*24,2)</f>
        <v>1.5</v>
      </c>
      <c r="I27" s="44" t="s">
        <v>156</v>
      </c>
      <c r="J27" s="45" t="s">
        <v>31</v>
      </c>
      <c r="K27" s="33" t="s">
        <v>7</v>
      </c>
      <c r="L27" s="33" t="s">
        <v>19</v>
      </c>
      <c r="M27" s="39" t="s">
        <v>157</v>
      </c>
    </row>
    <row r="28" customFormat="false" ht="15" hidden="false" customHeight="false" outlineLevel="0" collapsed="false">
      <c r="A28" s="33" t="n">
        <v>4</v>
      </c>
      <c r="B28" s="34" t="n">
        <v>46328</v>
      </c>
      <c r="C28" s="33" t="str">
        <f aca="false">TEXT(B28,"dddd")</f>
        <v>Monday</v>
      </c>
      <c r="D28" s="33" t="n">
        <f aca="false">INT((A28-1)/6)+1</f>
        <v>1</v>
      </c>
      <c r="E28" s="35" t="n">
        <v>0.416666666666667</v>
      </c>
      <c r="F28" s="35" t="n">
        <v>0.427083333333333</v>
      </c>
      <c r="G28" s="33" t="str">
        <f aca="false">TEXT(E28,"h:mm")&amp;" to "&amp;TEXT(F28,"h:mm")</f>
        <v>10:00 to 10:15</v>
      </c>
      <c r="H28" s="36" t="n">
        <f aca="false">ROUND((F28-E28)*24,2)</f>
        <v>0.25</v>
      </c>
      <c r="I28" s="37" t="s">
        <v>133</v>
      </c>
      <c r="J28" s="38" t="s">
        <v>36</v>
      </c>
      <c r="K28" s="33"/>
      <c r="L28" s="33"/>
      <c r="M28" s="39"/>
    </row>
    <row r="29" customFormat="false" ht="15" hidden="false" customHeight="false" outlineLevel="0" collapsed="false">
      <c r="A29" s="33" t="n">
        <v>4</v>
      </c>
      <c r="B29" s="34" t="n">
        <v>46328</v>
      </c>
      <c r="C29" s="33" t="str">
        <f aca="false">TEXT(B29,"dddd")</f>
        <v>Monday</v>
      </c>
      <c r="D29" s="33" t="n">
        <f aca="false">INT((A29-1)/6)+1</f>
        <v>1</v>
      </c>
      <c r="E29" s="35" t="n">
        <v>0.427083333333333</v>
      </c>
      <c r="F29" s="35" t="n">
        <v>0.479166666666667</v>
      </c>
      <c r="G29" s="33" t="str">
        <f aca="false">TEXT(E29,"h:mm")&amp;" to "&amp;TEXT(F29,"h:mm")</f>
        <v>10:15 to 11:30</v>
      </c>
      <c r="H29" s="36" t="n">
        <f aca="false">ROUND((F29-E29)*24,2)</f>
        <v>1.25</v>
      </c>
      <c r="I29" s="44" t="s">
        <v>158</v>
      </c>
      <c r="J29" s="45" t="s">
        <v>31</v>
      </c>
      <c r="K29" s="33" t="s">
        <v>7</v>
      </c>
      <c r="L29" s="33" t="s">
        <v>19</v>
      </c>
      <c r="M29" s="39" t="s">
        <v>159</v>
      </c>
    </row>
    <row r="30" customFormat="false" ht="15" hidden="false" customHeight="false" outlineLevel="0" collapsed="false">
      <c r="A30" s="33" t="n">
        <v>4</v>
      </c>
      <c r="B30" s="34" t="n">
        <v>46328</v>
      </c>
      <c r="C30" s="33" t="str">
        <f aca="false">TEXT(B30,"dddd")</f>
        <v>Monday</v>
      </c>
      <c r="D30" s="33" t="n">
        <f aca="false">INT((A30-1)/6)+1</f>
        <v>1</v>
      </c>
      <c r="E30" s="35" t="n">
        <v>0.479166666666667</v>
      </c>
      <c r="F30" s="35" t="n">
        <v>0.541666666666667</v>
      </c>
      <c r="G30" s="33" t="str">
        <f aca="false">TEXT(E30,"h:mm")&amp;" to "&amp;TEXT(F30,"h:mm")</f>
        <v>11:30 to 13:00</v>
      </c>
      <c r="H30" s="36" t="n">
        <f aca="false">ROUND((F30-E30)*24,2)</f>
        <v>1.5</v>
      </c>
      <c r="I30" s="37" t="s">
        <v>136</v>
      </c>
      <c r="J30" s="38" t="s">
        <v>36</v>
      </c>
      <c r="K30" s="33"/>
      <c r="L30" s="33"/>
      <c r="M30" s="39"/>
    </row>
    <row r="31" customFormat="false" ht="35.05" hidden="false" customHeight="false" outlineLevel="0" collapsed="false">
      <c r="A31" s="33" t="n">
        <v>4</v>
      </c>
      <c r="B31" s="34" t="n">
        <v>46328</v>
      </c>
      <c r="C31" s="33" t="str">
        <f aca="false">TEXT(B31,"dddd")</f>
        <v>Monday</v>
      </c>
      <c r="D31" s="33" t="n">
        <f aca="false">INT((A31-1)/6)+1</f>
        <v>1</v>
      </c>
      <c r="E31" s="35" t="n">
        <v>0.541666666666667</v>
      </c>
      <c r="F31" s="35" t="n">
        <v>0.604166666666667</v>
      </c>
      <c r="G31" s="33" t="str">
        <f aca="false">TEXT(E31,"h:mm")&amp;" to "&amp;TEXT(F31,"h:mm")</f>
        <v>13:00 to 14:30</v>
      </c>
      <c r="H31" s="36" t="n">
        <f aca="false">ROUND((F31-E31)*24,2)</f>
        <v>1.5</v>
      </c>
      <c r="I31" s="44" t="s">
        <v>160</v>
      </c>
      <c r="J31" s="45" t="s">
        <v>31</v>
      </c>
      <c r="K31" s="33" t="s">
        <v>7</v>
      </c>
      <c r="L31" s="33" t="s">
        <v>21</v>
      </c>
      <c r="M31" s="39" t="s">
        <v>161</v>
      </c>
    </row>
    <row r="32" customFormat="false" ht="15" hidden="false" customHeight="false" outlineLevel="0" collapsed="false">
      <c r="A32" s="33" t="n">
        <v>4</v>
      </c>
      <c r="B32" s="34" t="n">
        <v>46328</v>
      </c>
      <c r="C32" s="33" t="str">
        <f aca="false">TEXT(B32,"dddd")</f>
        <v>Monday</v>
      </c>
      <c r="D32" s="33" t="n">
        <f aca="false">INT((A32-1)/6)+1</f>
        <v>1</v>
      </c>
      <c r="E32" s="35" t="n">
        <v>0.604166666666667</v>
      </c>
      <c r="F32" s="35" t="n">
        <v>0.614583333333333</v>
      </c>
      <c r="G32" s="33" t="str">
        <f aca="false">TEXT(E32,"h:mm")&amp;" to "&amp;TEXT(F32,"h:mm")</f>
        <v>14:30 to 14:45</v>
      </c>
      <c r="H32" s="36" t="n">
        <f aca="false">ROUND((F32-E32)*24,2)</f>
        <v>0.25</v>
      </c>
      <c r="I32" s="37" t="s">
        <v>139</v>
      </c>
      <c r="J32" s="38" t="s">
        <v>36</v>
      </c>
      <c r="K32" s="33"/>
      <c r="L32" s="33"/>
      <c r="M32" s="39"/>
    </row>
    <row r="33" customFormat="false" ht="15" hidden="false" customHeight="false" outlineLevel="0" collapsed="false">
      <c r="A33" s="33" t="n">
        <v>4</v>
      </c>
      <c r="B33" s="34" t="n">
        <v>46328</v>
      </c>
      <c r="C33" s="33" t="str">
        <f aca="false">TEXT(B33,"dddd")</f>
        <v>Monday</v>
      </c>
      <c r="D33" s="33" t="n">
        <f aca="false">INT((A33-1)/6)+1</f>
        <v>1</v>
      </c>
      <c r="E33" s="35" t="n">
        <v>0.614583333333333</v>
      </c>
      <c r="F33" s="35" t="n">
        <v>0.645833333333333</v>
      </c>
      <c r="G33" s="33" t="str">
        <f aca="false">TEXT(E33,"h:mm")&amp;" to "&amp;TEXT(F33,"h:mm")</f>
        <v>14:45 to 15:30</v>
      </c>
      <c r="H33" s="36" t="n">
        <f aca="false">ROUND((F33-E33)*24,2)</f>
        <v>0.75</v>
      </c>
      <c r="I33" s="44" t="s">
        <v>162</v>
      </c>
      <c r="J33" s="45" t="s">
        <v>31</v>
      </c>
      <c r="K33" s="33" t="s">
        <v>7</v>
      </c>
      <c r="L33" s="33" t="s">
        <v>21</v>
      </c>
      <c r="M33" s="39" t="s">
        <v>163</v>
      </c>
    </row>
    <row r="34" customFormat="false" ht="23.85" hidden="false" customHeight="false" outlineLevel="0" collapsed="false">
      <c r="A34" s="33" t="n">
        <v>4</v>
      </c>
      <c r="B34" s="34" t="n">
        <v>46328</v>
      </c>
      <c r="C34" s="33" t="str">
        <f aca="false">TEXT(B34,"dddd")</f>
        <v>Monday</v>
      </c>
      <c r="D34" s="33" t="n">
        <f aca="false">INT((A34-1)/6)+1</f>
        <v>1</v>
      </c>
      <c r="E34" s="35" t="n">
        <v>0.645833333333333</v>
      </c>
      <c r="F34" s="35" t="n">
        <v>0.6875</v>
      </c>
      <c r="G34" s="33" t="str">
        <f aca="false">TEXT(E34,"h:mm")&amp;" to "&amp;TEXT(F34,"h:mm")</f>
        <v>15:30 to 16:30</v>
      </c>
      <c r="H34" s="36" t="n">
        <f aca="false">ROUND((F34-E34)*24,2)</f>
        <v>1</v>
      </c>
      <c r="I34" s="48" t="s">
        <v>164</v>
      </c>
      <c r="J34" s="49" t="s">
        <v>33</v>
      </c>
      <c r="K34" s="33" t="s">
        <v>7</v>
      </c>
      <c r="L34" s="33" t="s">
        <v>21</v>
      </c>
      <c r="M34" s="39" t="s">
        <v>165</v>
      </c>
    </row>
    <row r="35" customFormat="false" ht="23.85" hidden="false" customHeight="false" outlineLevel="0" collapsed="false">
      <c r="A35" s="33" t="n">
        <v>5</v>
      </c>
      <c r="B35" s="34" t="n">
        <v>46329</v>
      </c>
      <c r="C35" s="33" t="str">
        <f aca="false">TEXT(B35,"dddd")</f>
        <v>Tuesday</v>
      </c>
      <c r="D35" s="33" t="n">
        <f aca="false">INT((A35-1)/6)+1</f>
        <v>1</v>
      </c>
      <c r="E35" s="35" t="n">
        <v>0.354166666666667</v>
      </c>
      <c r="F35" s="35" t="n">
        <v>0.416666666666667</v>
      </c>
      <c r="G35" s="33" t="str">
        <f aca="false">TEXT(E35,"h:mm")&amp;" to "&amp;TEXT(F35,"h:mm")</f>
        <v>8:30 to 10:00</v>
      </c>
      <c r="H35" s="36" t="n">
        <f aca="false">ROUND((F35-E35)*24,2)</f>
        <v>1.5</v>
      </c>
      <c r="I35" s="44" t="s">
        <v>166</v>
      </c>
      <c r="J35" s="45" t="s">
        <v>31</v>
      </c>
      <c r="K35" s="33" t="s">
        <v>7</v>
      </c>
      <c r="L35" s="33" t="s">
        <v>19</v>
      </c>
      <c r="M35" s="39" t="s">
        <v>167</v>
      </c>
    </row>
    <row r="36" customFormat="false" ht="15" hidden="false" customHeight="false" outlineLevel="0" collapsed="false">
      <c r="A36" s="33" t="n">
        <v>5</v>
      </c>
      <c r="B36" s="34" t="n">
        <v>46329</v>
      </c>
      <c r="C36" s="33" t="str">
        <f aca="false">TEXT(B36,"dddd")</f>
        <v>Tuesday</v>
      </c>
      <c r="D36" s="33" t="n">
        <f aca="false">INT((A36-1)/6)+1</f>
        <v>1</v>
      </c>
      <c r="E36" s="35" t="n">
        <v>0.416666666666667</v>
      </c>
      <c r="F36" s="35" t="n">
        <v>0.427083333333333</v>
      </c>
      <c r="G36" s="33" t="str">
        <f aca="false">TEXT(E36,"h:mm")&amp;" to "&amp;TEXT(F36,"h:mm")</f>
        <v>10:00 to 10:15</v>
      </c>
      <c r="H36" s="36" t="n">
        <f aca="false">ROUND((F36-E36)*24,2)</f>
        <v>0.25</v>
      </c>
      <c r="I36" s="37" t="s">
        <v>133</v>
      </c>
      <c r="J36" s="38" t="s">
        <v>36</v>
      </c>
      <c r="K36" s="33"/>
      <c r="L36" s="33"/>
      <c r="M36" s="39"/>
    </row>
    <row r="37" customFormat="false" ht="15" hidden="false" customHeight="false" outlineLevel="0" collapsed="false">
      <c r="A37" s="33" t="n">
        <v>5</v>
      </c>
      <c r="B37" s="34" t="n">
        <v>46329</v>
      </c>
      <c r="C37" s="33" t="str">
        <f aca="false">TEXT(B37,"dddd")</f>
        <v>Tuesday</v>
      </c>
      <c r="D37" s="33" t="n">
        <f aca="false">INT((A37-1)/6)+1</f>
        <v>1</v>
      </c>
      <c r="E37" s="35" t="n">
        <v>0.427083333333333</v>
      </c>
      <c r="F37" s="35" t="n">
        <v>0.479166666666667</v>
      </c>
      <c r="G37" s="33" t="str">
        <f aca="false">TEXT(E37,"h:mm")&amp;" to "&amp;TEXT(F37,"h:mm")</f>
        <v>10:15 to 11:30</v>
      </c>
      <c r="H37" s="36" t="n">
        <f aca="false">ROUND((F37-E37)*24,2)</f>
        <v>1.25</v>
      </c>
      <c r="I37" s="44" t="s">
        <v>168</v>
      </c>
      <c r="J37" s="45" t="s">
        <v>31</v>
      </c>
      <c r="K37" s="33" t="s">
        <v>7</v>
      </c>
      <c r="L37" s="33" t="s">
        <v>19</v>
      </c>
      <c r="M37" s="39" t="s">
        <v>159</v>
      </c>
    </row>
    <row r="38" customFormat="false" ht="15" hidden="false" customHeight="false" outlineLevel="0" collapsed="false">
      <c r="A38" s="33" t="n">
        <v>5</v>
      </c>
      <c r="B38" s="34" t="n">
        <v>46329</v>
      </c>
      <c r="C38" s="33" t="str">
        <f aca="false">TEXT(B38,"dddd")</f>
        <v>Tuesday</v>
      </c>
      <c r="D38" s="33" t="n">
        <f aca="false">INT((A38-1)/6)+1</f>
        <v>1</v>
      </c>
      <c r="E38" s="35" t="n">
        <v>0.479166666666667</v>
      </c>
      <c r="F38" s="35" t="n">
        <v>0.541666666666667</v>
      </c>
      <c r="G38" s="33" t="str">
        <f aca="false">TEXT(E38,"h:mm")&amp;" to "&amp;TEXT(F38,"h:mm")</f>
        <v>11:30 to 13:00</v>
      </c>
      <c r="H38" s="36" t="n">
        <f aca="false">ROUND((F38-E38)*24,2)</f>
        <v>1.5</v>
      </c>
      <c r="I38" s="37" t="s">
        <v>136</v>
      </c>
      <c r="J38" s="38" t="s">
        <v>36</v>
      </c>
      <c r="K38" s="33"/>
      <c r="L38" s="33"/>
      <c r="M38" s="39"/>
    </row>
    <row r="39" customFormat="false" ht="23.85" hidden="false" customHeight="false" outlineLevel="0" collapsed="false">
      <c r="A39" s="33" t="n">
        <v>5</v>
      </c>
      <c r="B39" s="34" t="n">
        <v>46329</v>
      </c>
      <c r="C39" s="33" t="str">
        <f aca="false">TEXT(B39,"dddd")</f>
        <v>Tuesday</v>
      </c>
      <c r="D39" s="33" t="n">
        <f aca="false">INT((A39-1)/6)+1</f>
        <v>1</v>
      </c>
      <c r="E39" s="35" t="n">
        <v>0.541666666666667</v>
      </c>
      <c r="F39" s="35" t="n">
        <v>0.604166666666667</v>
      </c>
      <c r="G39" s="33" t="str">
        <f aca="false">TEXT(E39,"h:mm")&amp;" to "&amp;TEXT(F39,"h:mm")</f>
        <v>13:00 to 14:30</v>
      </c>
      <c r="H39" s="36" t="n">
        <f aca="false">ROUND((F39-E39)*24,2)</f>
        <v>1.5</v>
      </c>
      <c r="I39" s="44" t="s">
        <v>169</v>
      </c>
      <c r="J39" s="45" t="s">
        <v>31</v>
      </c>
      <c r="K39" s="33" t="s">
        <v>7</v>
      </c>
      <c r="L39" s="33" t="s">
        <v>19</v>
      </c>
      <c r="M39" s="39" t="s">
        <v>170</v>
      </c>
    </row>
    <row r="40" customFormat="false" ht="15" hidden="false" customHeight="false" outlineLevel="0" collapsed="false">
      <c r="A40" s="33" t="n">
        <v>5</v>
      </c>
      <c r="B40" s="34" t="n">
        <v>46329</v>
      </c>
      <c r="C40" s="33" t="str">
        <f aca="false">TEXT(B40,"dddd")</f>
        <v>Tuesday</v>
      </c>
      <c r="D40" s="33" t="n">
        <f aca="false">INT((A40-1)/6)+1</f>
        <v>1</v>
      </c>
      <c r="E40" s="35" t="n">
        <v>0.604166666666667</v>
      </c>
      <c r="F40" s="35" t="n">
        <v>0.614583333333333</v>
      </c>
      <c r="G40" s="33" t="str">
        <f aca="false">TEXT(E40,"h:mm")&amp;" to "&amp;TEXT(F40,"h:mm")</f>
        <v>14:30 to 14:45</v>
      </c>
      <c r="H40" s="36" t="n">
        <f aca="false">ROUND((F40-E40)*24,2)</f>
        <v>0.25</v>
      </c>
      <c r="I40" s="37" t="s">
        <v>139</v>
      </c>
      <c r="J40" s="38" t="s">
        <v>36</v>
      </c>
      <c r="K40" s="33"/>
      <c r="L40" s="33"/>
      <c r="M40" s="39"/>
    </row>
    <row r="41" customFormat="false" ht="23.85" hidden="false" customHeight="false" outlineLevel="0" collapsed="false">
      <c r="A41" s="33" t="n">
        <v>5</v>
      </c>
      <c r="B41" s="34" t="n">
        <v>46329</v>
      </c>
      <c r="C41" s="33" t="str">
        <f aca="false">TEXT(B41,"dddd")</f>
        <v>Tuesday</v>
      </c>
      <c r="D41" s="33" t="n">
        <f aca="false">INT((A41-1)/6)+1</f>
        <v>1</v>
      </c>
      <c r="E41" s="35" t="n">
        <v>0.614583333333333</v>
      </c>
      <c r="F41" s="35" t="n">
        <v>0.645833333333333</v>
      </c>
      <c r="G41" s="33" t="str">
        <f aca="false">TEXT(E41,"h:mm")&amp;" to "&amp;TEXT(F41,"h:mm")</f>
        <v>14:45 to 15:30</v>
      </c>
      <c r="H41" s="36" t="n">
        <f aca="false">ROUND((F41-E41)*24,2)</f>
        <v>0.75</v>
      </c>
      <c r="I41" s="44" t="s">
        <v>171</v>
      </c>
      <c r="J41" s="45" t="s">
        <v>31</v>
      </c>
      <c r="K41" s="33" t="s">
        <v>7</v>
      </c>
      <c r="L41" s="33" t="s">
        <v>19</v>
      </c>
      <c r="M41" s="39" t="s">
        <v>172</v>
      </c>
    </row>
    <row r="42" customFormat="false" ht="23.85" hidden="false" customHeight="false" outlineLevel="0" collapsed="false">
      <c r="A42" s="33" t="n">
        <v>5</v>
      </c>
      <c r="B42" s="34" t="n">
        <v>46329</v>
      </c>
      <c r="C42" s="33" t="str">
        <f aca="false">TEXT(B42,"dddd")</f>
        <v>Tuesday</v>
      </c>
      <c r="D42" s="33" t="n">
        <f aca="false">INT((A42-1)/6)+1</f>
        <v>1</v>
      </c>
      <c r="E42" s="35" t="n">
        <v>0.645833333333333</v>
      </c>
      <c r="F42" s="35" t="n">
        <v>0.6875</v>
      </c>
      <c r="G42" s="33" t="str">
        <f aca="false">TEXT(E42,"h:mm")&amp;" to "&amp;TEXT(F42,"h:mm")</f>
        <v>15:30 to 16:30</v>
      </c>
      <c r="H42" s="36" t="n">
        <f aca="false">ROUND((F42-E42)*24,2)</f>
        <v>1</v>
      </c>
      <c r="I42" s="48" t="s">
        <v>164</v>
      </c>
      <c r="J42" s="49" t="s">
        <v>33</v>
      </c>
      <c r="K42" s="33" t="s">
        <v>7</v>
      </c>
      <c r="L42" s="33" t="s">
        <v>19</v>
      </c>
      <c r="M42" s="39" t="s">
        <v>165</v>
      </c>
    </row>
    <row r="43" customFormat="false" ht="23.85" hidden="false" customHeight="false" outlineLevel="0" collapsed="false">
      <c r="A43" s="33" t="n">
        <v>5</v>
      </c>
      <c r="B43" s="34" t="n">
        <v>46329</v>
      </c>
      <c r="C43" s="33" t="str">
        <f aca="false">TEXT(B43,"dddd")</f>
        <v>Tuesday</v>
      </c>
      <c r="D43" s="33" t="n">
        <f aca="false">INT((A43-1)/6)+1</f>
        <v>1</v>
      </c>
      <c r="E43" s="35" t="n">
        <v>0.770833333333333</v>
      </c>
      <c r="F43" s="35" t="n">
        <v>0.8125</v>
      </c>
      <c r="G43" s="33" t="str">
        <f aca="false">TEXT(E43,"h:mm")&amp;" to "&amp;TEXT(F43,"h:mm")</f>
        <v>18:30 to 19:30</v>
      </c>
      <c r="H43" s="36" t="n">
        <f aca="false">ROUND((F43-E43)*24,2)</f>
        <v>1</v>
      </c>
      <c r="I43" s="42" t="s">
        <v>173</v>
      </c>
      <c r="J43" s="43" t="s">
        <v>34</v>
      </c>
      <c r="K43" s="33" t="s">
        <v>7</v>
      </c>
      <c r="L43" s="33"/>
      <c r="M43" s="39" t="s">
        <v>174</v>
      </c>
    </row>
    <row r="44" customFormat="false" ht="15" hidden="false" customHeight="false" outlineLevel="0" collapsed="false">
      <c r="A44" s="33" t="n">
        <v>6</v>
      </c>
      <c r="B44" s="34" t="n">
        <v>46330</v>
      </c>
      <c r="C44" s="33" t="str">
        <f aca="false">TEXT(B44,"dddd")</f>
        <v>Wednesday</v>
      </c>
      <c r="D44" s="33" t="n">
        <f aca="false">INT((A44-1)/6)+1</f>
        <v>1</v>
      </c>
      <c r="E44" s="35" t="n">
        <v>0.354166666666667</v>
      </c>
      <c r="F44" s="35" t="n">
        <v>0.375</v>
      </c>
      <c r="G44" s="33" t="str">
        <f aca="false">TEXT(E44,"h:mm")&amp;" to "&amp;TEXT(F44,"h:mm")</f>
        <v>8:30 to 9:00</v>
      </c>
      <c r="H44" s="36" t="n">
        <f aca="false">ROUND((F44-E44)*24,2)</f>
        <v>0.5</v>
      </c>
      <c r="I44" s="42" t="s">
        <v>175</v>
      </c>
      <c r="J44" s="43" t="s">
        <v>34</v>
      </c>
      <c r="K44" s="33"/>
      <c r="L44" s="33"/>
      <c r="M44" s="39" t="s">
        <v>176</v>
      </c>
    </row>
    <row r="45" customFormat="false" ht="23.85" hidden="false" customHeight="false" outlineLevel="0" collapsed="false">
      <c r="A45" s="33" t="n">
        <v>6</v>
      </c>
      <c r="B45" s="34" t="n">
        <v>46330</v>
      </c>
      <c r="C45" s="33" t="str">
        <f aca="false">TEXT(B45,"dddd")</f>
        <v>Wednesday</v>
      </c>
      <c r="D45" s="33" t="n">
        <f aca="false">INT((A45-1)/6)+1</f>
        <v>1</v>
      </c>
      <c r="E45" s="35" t="n">
        <v>0.375</v>
      </c>
      <c r="F45" s="35" t="n">
        <v>0.4375</v>
      </c>
      <c r="G45" s="33" t="str">
        <f aca="false">TEXT(E45,"h:mm")&amp;" to "&amp;TEXT(F45,"h:mm")</f>
        <v>9:00 to 10:30</v>
      </c>
      <c r="H45" s="36" t="n">
        <f aca="false">ROUND((F45-E45)*24,2)</f>
        <v>1.5</v>
      </c>
      <c r="I45" s="44" t="s">
        <v>177</v>
      </c>
      <c r="J45" s="45" t="s">
        <v>31</v>
      </c>
      <c r="K45" s="33" t="s">
        <v>7</v>
      </c>
      <c r="L45" s="33" t="s">
        <v>16</v>
      </c>
      <c r="M45" s="39" t="s">
        <v>178</v>
      </c>
    </row>
    <row r="46" customFormat="false" ht="15" hidden="false" customHeight="false" outlineLevel="0" collapsed="false">
      <c r="A46" s="33" t="n">
        <v>6</v>
      </c>
      <c r="B46" s="34" t="n">
        <v>46330</v>
      </c>
      <c r="C46" s="33" t="str">
        <f aca="false">TEXT(B46,"dddd")</f>
        <v>Wednesday</v>
      </c>
      <c r="D46" s="33" t="n">
        <f aca="false">INT((A46-1)/6)+1</f>
        <v>1</v>
      </c>
      <c r="E46" s="35" t="n">
        <v>0.4375</v>
      </c>
      <c r="F46" s="35" t="n">
        <v>0.447916666666667</v>
      </c>
      <c r="G46" s="33" t="str">
        <f aca="false">TEXT(E46,"h:mm")&amp;" to "&amp;TEXT(F46,"h:mm")</f>
        <v>10:30 to 10:45</v>
      </c>
      <c r="H46" s="36" t="n">
        <f aca="false">ROUND((F46-E46)*24,2)</f>
        <v>0.25</v>
      </c>
      <c r="I46" s="37" t="s">
        <v>133</v>
      </c>
      <c r="J46" s="38" t="s">
        <v>36</v>
      </c>
      <c r="K46" s="33"/>
      <c r="L46" s="33"/>
      <c r="M46" s="39"/>
    </row>
    <row r="47" customFormat="false" ht="15" hidden="false" customHeight="false" outlineLevel="0" collapsed="false">
      <c r="A47" s="33" t="n">
        <v>6</v>
      </c>
      <c r="B47" s="34" t="n">
        <v>46330</v>
      </c>
      <c r="C47" s="33" t="str">
        <f aca="false">TEXT(B47,"dddd")</f>
        <v>Wednesday</v>
      </c>
      <c r="D47" s="33" t="n">
        <f aca="false">INT((A47-1)/6)+1</f>
        <v>1</v>
      </c>
      <c r="E47" s="35" t="n">
        <v>0.447916666666667</v>
      </c>
      <c r="F47" s="35" t="n">
        <v>0.5</v>
      </c>
      <c r="G47" s="33" t="str">
        <f aca="false">TEXT(E47,"h:mm")&amp;" to "&amp;TEXT(F47,"h:mm")</f>
        <v>10:45 to 12:00</v>
      </c>
      <c r="H47" s="36" t="n">
        <f aca="false">ROUND((F47-E47)*24,2)</f>
        <v>1.25</v>
      </c>
      <c r="I47" s="44" t="s">
        <v>179</v>
      </c>
      <c r="J47" s="45" t="s">
        <v>31</v>
      </c>
      <c r="K47" s="33" t="s">
        <v>7</v>
      </c>
      <c r="L47" s="33" t="s">
        <v>16</v>
      </c>
      <c r="M47" s="39" t="s">
        <v>180</v>
      </c>
    </row>
    <row r="48" customFormat="false" ht="15" hidden="false" customHeight="false" outlineLevel="0" collapsed="false">
      <c r="A48" s="33" t="n">
        <v>6</v>
      </c>
      <c r="B48" s="34" t="n">
        <v>46330</v>
      </c>
      <c r="C48" s="33" t="str">
        <f aca="false">TEXT(B48,"dddd")</f>
        <v>Wednesday</v>
      </c>
      <c r="D48" s="33" t="n">
        <f aca="false">INT((A48-1)/6)+1</f>
        <v>1</v>
      </c>
      <c r="E48" s="35" t="n">
        <v>0.5</v>
      </c>
      <c r="F48" s="35" t="n">
        <v>0.541666666666667</v>
      </c>
      <c r="G48" s="33" t="str">
        <f aca="false">TEXT(E48,"h:mm")&amp;" to "&amp;TEXT(F48,"h:mm")</f>
        <v>12:00 to 13:00</v>
      </c>
      <c r="H48" s="36" t="n">
        <f aca="false">ROUND((F48-E48)*24,2)</f>
        <v>1</v>
      </c>
      <c r="I48" s="37" t="s">
        <v>136</v>
      </c>
      <c r="J48" s="38" t="s">
        <v>36</v>
      </c>
      <c r="K48" s="33"/>
      <c r="L48" s="33"/>
      <c r="M48" s="39"/>
    </row>
    <row r="49" customFormat="false" ht="15" hidden="false" customHeight="false" outlineLevel="0" collapsed="false">
      <c r="A49" s="33" t="n">
        <v>6</v>
      </c>
      <c r="B49" s="34" t="n">
        <v>46330</v>
      </c>
      <c r="C49" s="33" t="str">
        <f aca="false">TEXT(B49,"dddd")</f>
        <v>Wednesday</v>
      </c>
      <c r="D49" s="33" t="n">
        <f aca="false">INT((A49-1)/6)+1</f>
        <v>1</v>
      </c>
      <c r="E49" s="35" t="n">
        <v>0.541666666666667</v>
      </c>
      <c r="F49" s="35" t="n">
        <v>0.604166666666667</v>
      </c>
      <c r="G49" s="33" t="str">
        <f aca="false">TEXT(E49,"h:mm")&amp;" to "&amp;TEXT(F49,"h:mm")</f>
        <v>13:00 to 14:30</v>
      </c>
      <c r="H49" s="36" t="n">
        <f aca="false">ROUND((F49-E49)*24,2)</f>
        <v>1.5</v>
      </c>
      <c r="I49" s="46" t="s">
        <v>181</v>
      </c>
      <c r="J49" s="47" t="s">
        <v>32</v>
      </c>
      <c r="K49" s="33" t="s">
        <v>8</v>
      </c>
      <c r="L49" s="33" t="s">
        <v>28</v>
      </c>
      <c r="M49" s="39" t="s">
        <v>145</v>
      </c>
    </row>
    <row r="50" customFormat="false" ht="15" hidden="false" customHeight="false" outlineLevel="0" collapsed="false">
      <c r="A50" s="33" t="n">
        <v>6</v>
      </c>
      <c r="B50" s="34" t="n">
        <v>46330</v>
      </c>
      <c r="C50" s="33" t="str">
        <f aca="false">TEXT(B50,"dddd")</f>
        <v>Wednesday</v>
      </c>
      <c r="D50" s="33" t="n">
        <f aca="false">INT((A50-1)/6)+1</f>
        <v>1</v>
      </c>
      <c r="E50" s="35" t="n">
        <v>0.604166666666667</v>
      </c>
      <c r="F50" s="35" t="n">
        <v>0.614583333333333</v>
      </c>
      <c r="G50" s="33" t="str">
        <f aca="false">TEXT(E50,"h:mm")&amp;" to "&amp;TEXT(F50,"h:mm")</f>
        <v>14:30 to 14:45</v>
      </c>
      <c r="H50" s="36" t="n">
        <f aca="false">ROUND((F50-E50)*24,2)</f>
        <v>0.25</v>
      </c>
      <c r="I50" s="37" t="s">
        <v>139</v>
      </c>
      <c r="J50" s="38" t="s">
        <v>36</v>
      </c>
      <c r="K50" s="33"/>
      <c r="L50" s="33"/>
      <c r="M50" s="39"/>
    </row>
    <row r="51" customFormat="false" ht="15" hidden="false" customHeight="false" outlineLevel="0" collapsed="false">
      <c r="A51" s="33" t="n">
        <v>6</v>
      </c>
      <c r="B51" s="34" t="n">
        <v>46330</v>
      </c>
      <c r="C51" s="33" t="str">
        <f aca="false">TEXT(B51,"dddd")</f>
        <v>Wednesday</v>
      </c>
      <c r="D51" s="33" t="n">
        <f aca="false">INT((A51-1)/6)+1</f>
        <v>1</v>
      </c>
      <c r="E51" s="35" t="n">
        <v>0.614583333333333</v>
      </c>
      <c r="F51" s="35" t="n">
        <v>0.645833333333333</v>
      </c>
      <c r="G51" s="33" t="str">
        <f aca="false">TEXT(E51,"h:mm")&amp;" to "&amp;TEXT(F51,"h:mm")</f>
        <v>14:45 to 15:30</v>
      </c>
      <c r="H51" s="36" t="n">
        <f aca="false">ROUND((F51-E51)*24,2)</f>
        <v>0.75</v>
      </c>
      <c r="I51" s="46" t="s">
        <v>182</v>
      </c>
      <c r="J51" s="47" t="s">
        <v>32</v>
      </c>
      <c r="K51" s="33" t="s">
        <v>8</v>
      </c>
      <c r="L51" s="33" t="s">
        <v>28</v>
      </c>
      <c r="M51" s="39"/>
    </row>
    <row r="52" customFormat="false" ht="15" hidden="false" customHeight="false" outlineLevel="0" collapsed="false">
      <c r="A52" s="33" t="n">
        <v>6</v>
      </c>
      <c r="B52" s="34" t="n">
        <v>46330</v>
      </c>
      <c r="C52" s="33" t="str">
        <f aca="false">TEXT(B52,"dddd")</f>
        <v>Wednesday</v>
      </c>
      <c r="D52" s="33" t="n">
        <f aca="false">INT((A52-1)/6)+1</f>
        <v>1</v>
      </c>
      <c r="E52" s="35" t="n">
        <v>0.645833333333333</v>
      </c>
      <c r="F52" s="35" t="n">
        <v>0.6875</v>
      </c>
      <c r="G52" s="33" t="str">
        <f aca="false">TEXT(E52,"h:mm")&amp;" to "&amp;TEXT(F52,"h:mm")</f>
        <v>15:30 to 16:30</v>
      </c>
      <c r="H52" s="36" t="n">
        <f aca="false">ROUND((F52-E52)*24,2)</f>
        <v>1</v>
      </c>
      <c r="I52" s="48" t="s">
        <v>149</v>
      </c>
      <c r="J52" s="49" t="s">
        <v>33</v>
      </c>
      <c r="K52" s="33" t="s">
        <v>8</v>
      </c>
      <c r="L52" s="33" t="s">
        <v>28</v>
      </c>
      <c r="M52" s="39" t="s">
        <v>183</v>
      </c>
    </row>
    <row r="53" customFormat="false" ht="15" hidden="false" customHeight="false" outlineLevel="0" collapsed="false">
      <c r="A53" s="33" t="n">
        <v>7</v>
      </c>
      <c r="B53" s="34" t="n">
        <v>46331</v>
      </c>
      <c r="C53" s="33" t="str">
        <f aca="false">TEXT(B53,"dddd")</f>
        <v>Thursday</v>
      </c>
      <c r="D53" s="33" t="n">
        <f aca="false">INT((A53-1)/6)+1</f>
        <v>2</v>
      </c>
      <c r="E53" s="35" t="n">
        <v>0.354166666666667</v>
      </c>
      <c r="F53" s="35" t="n">
        <v>0.375</v>
      </c>
      <c r="G53" s="33" t="str">
        <f aca="false">TEXT(E53,"h:mm")&amp;" to "&amp;TEXT(F53,"h:mm")</f>
        <v>8:30 to 9:00</v>
      </c>
      <c r="H53" s="36" t="n">
        <f aca="false">ROUND((F53-E53)*24,2)</f>
        <v>0.5</v>
      </c>
      <c r="I53" s="42" t="s">
        <v>175</v>
      </c>
      <c r="J53" s="43" t="s">
        <v>34</v>
      </c>
      <c r="K53" s="33"/>
      <c r="L53" s="33"/>
      <c r="M53" s="39" t="s">
        <v>176</v>
      </c>
    </row>
    <row r="54" customFormat="false" ht="23.85" hidden="false" customHeight="false" outlineLevel="0" collapsed="false">
      <c r="A54" s="33" t="n">
        <v>7</v>
      </c>
      <c r="B54" s="34" t="n">
        <v>46331</v>
      </c>
      <c r="C54" s="33" t="str">
        <f aca="false">TEXT(B54,"dddd")</f>
        <v>Thursday</v>
      </c>
      <c r="D54" s="33" t="n">
        <f aca="false">INT((A54-1)/6)+1</f>
        <v>2</v>
      </c>
      <c r="E54" s="35" t="n">
        <v>0.375</v>
      </c>
      <c r="F54" s="35" t="n">
        <v>0.4375</v>
      </c>
      <c r="G54" s="33" t="str">
        <f aca="false">TEXT(E54,"h:mm")&amp;" to "&amp;TEXT(F54,"h:mm")</f>
        <v>9:00 to 10:30</v>
      </c>
      <c r="H54" s="36" t="n">
        <f aca="false">ROUND((F54-E54)*24,2)</f>
        <v>1.5</v>
      </c>
      <c r="I54" s="44" t="s">
        <v>177</v>
      </c>
      <c r="J54" s="45" t="s">
        <v>31</v>
      </c>
      <c r="K54" s="33" t="s">
        <v>7</v>
      </c>
      <c r="L54" s="33" t="s">
        <v>16</v>
      </c>
      <c r="M54" s="39" t="s">
        <v>184</v>
      </c>
    </row>
    <row r="55" customFormat="false" ht="15" hidden="false" customHeight="false" outlineLevel="0" collapsed="false">
      <c r="A55" s="33" t="n">
        <v>7</v>
      </c>
      <c r="B55" s="34" t="n">
        <v>46331</v>
      </c>
      <c r="C55" s="33" t="str">
        <f aca="false">TEXT(B55,"dddd")</f>
        <v>Thursday</v>
      </c>
      <c r="D55" s="33" t="n">
        <f aca="false">INT((A55-1)/6)+1</f>
        <v>2</v>
      </c>
      <c r="E55" s="35" t="n">
        <v>0.4375</v>
      </c>
      <c r="F55" s="35" t="n">
        <v>0.447916666666667</v>
      </c>
      <c r="G55" s="33" t="str">
        <f aca="false">TEXT(E55,"h:mm")&amp;" to "&amp;TEXT(F55,"h:mm")</f>
        <v>10:30 to 10:45</v>
      </c>
      <c r="H55" s="36" t="n">
        <f aca="false">ROUND((F55-E55)*24,2)</f>
        <v>0.25</v>
      </c>
      <c r="I55" s="37" t="s">
        <v>133</v>
      </c>
      <c r="J55" s="38" t="s">
        <v>36</v>
      </c>
      <c r="K55" s="33"/>
      <c r="L55" s="33"/>
      <c r="M55" s="39"/>
    </row>
    <row r="56" customFormat="false" ht="15" hidden="false" customHeight="false" outlineLevel="0" collapsed="false">
      <c r="A56" s="33" t="n">
        <v>7</v>
      </c>
      <c r="B56" s="34" t="n">
        <v>46331</v>
      </c>
      <c r="C56" s="33" t="str">
        <f aca="false">TEXT(B56,"dddd")</f>
        <v>Thursday</v>
      </c>
      <c r="D56" s="33" t="n">
        <f aca="false">INT((A56-1)/6)+1</f>
        <v>2</v>
      </c>
      <c r="E56" s="35" t="n">
        <v>0.447916666666667</v>
      </c>
      <c r="F56" s="35" t="n">
        <v>0.5</v>
      </c>
      <c r="G56" s="33" t="str">
        <f aca="false">TEXT(E56,"h:mm")&amp;" to "&amp;TEXT(F56,"h:mm")</f>
        <v>10:45 to 12:00</v>
      </c>
      <c r="H56" s="36" t="n">
        <f aca="false">ROUND((F56-E56)*24,2)</f>
        <v>1.25</v>
      </c>
      <c r="I56" s="44" t="s">
        <v>179</v>
      </c>
      <c r="J56" s="45" t="s">
        <v>31</v>
      </c>
      <c r="K56" s="33" t="s">
        <v>7</v>
      </c>
      <c r="L56" s="33" t="s">
        <v>16</v>
      </c>
      <c r="M56" s="39" t="s">
        <v>185</v>
      </c>
    </row>
    <row r="57" customFormat="false" ht="15" hidden="false" customHeight="false" outlineLevel="0" collapsed="false">
      <c r="A57" s="33" t="n">
        <v>7</v>
      </c>
      <c r="B57" s="34" t="n">
        <v>46331</v>
      </c>
      <c r="C57" s="33" t="str">
        <f aca="false">TEXT(B57,"dddd")</f>
        <v>Thursday</v>
      </c>
      <c r="D57" s="33" t="n">
        <f aca="false">INT((A57-1)/6)+1</f>
        <v>2</v>
      </c>
      <c r="E57" s="35" t="n">
        <v>0.5</v>
      </c>
      <c r="F57" s="35" t="n">
        <v>0.541666666666667</v>
      </c>
      <c r="G57" s="33" t="str">
        <f aca="false">TEXT(E57,"h:mm")&amp;" to "&amp;TEXT(F57,"h:mm")</f>
        <v>12:00 to 13:00</v>
      </c>
      <c r="H57" s="36" t="n">
        <f aca="false">ROUND((F57-E57)*24,2)</f>
        <v>1</v>
      </c>
      <c r="I57" s="37" t="s">
        <v>136</v>
      </c>
      <c r="J57" s="38" t="s">
        <v>36</v>
      </c>
      <c r="K57" s="33"/>
      <c r="L57" s="33"/>
      <c r="M57" s="39"/>
    </row>
    <row r="58" customFormat="false" ht="15" hidden="false" customHeight="false" outlineLevel="0" collapsed="false">
      <c r="A58" s="33" t="n">
        <v>7</v>
      </c>
      <c r="B58" s="34" t="n">
        <v>46331</v>
      </c>
      <c r="C58" s="33" t="str">
        <f aca="false">TEXT(B58,"dddd")</f>
        <v>Thursday</v>
      </c>
      <c r="D58" s="33" t="n">
        <f aca="false">INT((A58-1)/6)+1</f>
        <v>2</v>
      </c>
      <c r="E58" s="35" t="n">
        <v>0.541666666666667</v>
      </c>
      <c r="F58" s="35" t="n">
        <v>0.604166666666667</v>
      </c>
      <c r="G58" s="33" t="str">
        <f aca="false">TEXT(E58,"h:mm")&amp;" to "&amp;TEXT(F58,"h:mm")</f>
        <v>13:00 to 14:30</v>
      </c>
      <c r="H58" s="36" t="n">
        <f aca="false">ROUND((F58-E58)*24,2)</f>
        <v>1.5</v>
      </c>
      <c r="I58" s="46" t="s">
        <v>186</v>
      </c>
      <c r="J58" s="47" t="s">
        <v>32</v>
      </c>
      <c r="K58" s="33" t="s">
        <v>8</v>
      </c>
      <c r="L58" s="33" t="s">
        <v>28</v>
      </c>
      <c r="M58" s="39" t="s">
        <v>145</v>
      </c>
    </row>
    <row r="59" customFormat="false" ht="15" hidden="false" customHeight="false" outlineLevel="0" collapsed="false">
      <c r="A59" s="33" t="n">
        <v>7</v>
      </c>
      <c r="B59" s="34" t="n">
        <v>46331</v>
      </c>
      <c r="C59" s="33" t="str">
        <f aca="false">TEXT(B59,"dddd")</f>
        <v>Thursday</v>
      </c>
      <c r="D59" s="33" t="n">
        <f aca="false">INT((A59-1)/6)+1</f>
        <v>2</v>
      </c>
      <c r="E59" s="35" t="n">
        <v>0.604166666666667</v>
      </c>
      <c r="F59" s="35" t="n">
        <v>0.614583333333333</v>
      </c>
      <c r="G59" s="33" t="str">
        <f aca="false">TEXT(E59,"h:mm")&amp;" to "&amp;TEXT(F59,"h:mm")</f>
        <v>14:30 to 14:45</v>
      </c>
      <c r="H59" s="36" t="n">
        <f aca="false">ROUND((F59-E59)*24,2)</f>
        <v>0.25</v>
      </c>
      <c r="I59" s="37" t="s">
        <v>139</v>
      </c>
      <c r="J59" s="38" t="s">
        <v>36</v>
      </c>
      <c r="K59" s="33"/>
      <c r="L59" s="33"/>
      <c r="M59" s="39"/>
    </row>
    <row r="60" customFormat="false" ht="15" hidden="false" customHeight="false" outlineLevel="0" collapsed="false">
      <c r="A60" s="33" t="n">
        <v>7</v>
      </c>
      <c r="B60" s="34" t="n">
        <v>46331</v>
      </c>
      <c r="C60" s="33" t="str">
        <f aca="false">TEXT(B60,"dddd")</f>
        <v>Thursday</v>
      </c>
      <c r="D60" s="33" t="n">
        <f aca="false">INT((A60-1)/6)+1</f>
        <v>2</v>
      </c>
      <c r="E60" s="35" t="n">
        <v>0.614583333333333</v>
      </c>
      <c r="F60" s="35" t="n">
        <v>0.645833333333333</v>
      </c>
      <c r="G60" s="33" t="str">
        <f aca="false">TEXT(E60,"h:mm")&amp;" to "&amp;TEXT(F60,"h:mm")</f>
        <v>14:45 to 15:30</v>
      </c>
      <c r="H60" s="36" t="n">
        <f aca="false">ROUND((F60-E60)*24,2)</f>
        <v>0.75</v>
      </c>
      <c r="I60" s="46" t="s">
        <v>187</v>
      </c>
      <c r="J60" s="47" t="s">
        <v>32</v>
      </c>
      <c r="K60" s="33" t="s">
        <v>8</v>
      </c>
      <c r="L60" s="33" t="s">
        <v>28</v>
      </c>
      <c r="M60" s="39"/>
    </row>
    <row r="61" customFormat="false" ht="15" hidden="false" customHeight="false" outlineLevel="0" collapsed="false">
      <c r="A61" s="33" t="n">
        <v>7</v>
      </c>
      <c r="B61" s="34" t="n">
        <v>46331</v>
      </c>
      <c r="C61" s="33" t="str">
        <f aca="false">TEXT(B61,"dddd")</f>
        <v>Thursday</v>
      </c>
      <c r="D61" s="33" t="n">
        <f aca="false">INT((A61-1)/6)+1</f>
        <v>2</v>
      </c>
      <c r="E61" s="35" t="n">
        <v>0.645833333333333</v>
      </c>
      <c r="F61" s="35" t="n">
        <v>0.6875</v>
      </c>
      <c r="G61" s="33" t="str">
        <f aca="false">TEXT(E61,"h:mm")&amp;" to "&amp;TEXT(F61,"h:mm")</f>
        <v>15:30 to 16:30</v>
      </c>
      <c r="H61" s="36" t="n">
        <f aca="false">ROUND((F61-E61)*24,2)</f>
        <v>1</v>
      </c>
      <c r="I61" s="48" t="s">
        <v>149</v>
      </c>
      <c r="J61" s="49" t="s">
        <v>33</v>
      </c>
      <c r="K61" s="33" t="s">
        <v>8</v>
      </c>
      <c r="L61" s="33" t="s">
        <v>28</v>
      </c>
      <c r="M61" s="39" t="s">
        <v>188</v>
      </c>
    </row>
    <row r="62" customFormat="false" ht="15" hidden="false" customHeight="false" outlineLevel="0" collapsed="false">
      <c r="A62" s="33" t="n">
        <v>8</v>
      </c>
      <c r="B62" s="34" t="n">
        <v>46332</v>
      </c>
      <c r="C62" s="33" t="str">
        <f aca="false">TEXT(B62,"dddd")</f>
        <v>Friday</v>
      </c>
      <c r="D62" s="33" t="n">
        <f aca="false">INT((A62-1)/6)+1</f>
        <v>2</v>
      </c>
      <c r="E62" s="35" t="n">
        <v>0.354166666666667</v>
      </c>
      <c r="F62" s="35" t="n">
        <v>0.416666666666667</v>
      </c>
      <c r="G62" s="33" t="str">
        <f aca="false">TEXT(E62,"h:mm")&amp;" to "&amp;TEXT(F62,"h:mm")</f>
        <v>8:30 to 10:00</v>
      </c>
      <c r="H62" s="36" t="n">
        <f aca="false">ROUND((F62-E62)*24,2)</f>
        <v>1.5</v>
      </c>
      <c r="I62" s="46" t="s">
        <v>189</v>
      </c>
      <c r="J62" s="47" t="s">
        <v>32</v>
      </c>
      <c r="K62" s="33" t="s">
        <v>8</v>
      </c>
      <c r="L62" s="33" t="s">
        <v>26</v>
      </c>
      <c r="M62" s="39" t="s">
        <v>145</v>
      </c>
    </row>
    <row r="63" customFormat="false" ht="15" hidden="false" customHeight="false" outlineLevel="0" collapsed="false">
      <c r="A63" s="33" t="n">
        <v>8</v>
      </c>
      <c r="B63" s="34" t="n">
        <v>46332</v>
      </c>
      <c r="C63" s="33" t="str">
        <f aca="false">TEXT(B63,"dddd")</f>
        <v>Friday</v>
      </c>
      <c r="D63" s="33" t="n">
        <f aca="false">INT((A63-1)/6)+1</f>
        <v>2</v>
      </c>
      <c r="E63" s="35" t="n">
        <v>0.416666666666667</v>
      </c>
      <c r="F63" s="35" t="n">
        <v>0.427083333333333</v>
      </c>
      <c r="G63" s="33" t="str">
        <f aca="false">TEXT(E63,"h:mm")&amp;" to "&amp;TEXT(F63,"h:mm")</f>
        <v>10:00 to 10:15</v>
      </c>
      <c r="H63" s="36" t="n">
        <f aca="false">ROUND((F63-E63)*24,2)</f>
        <v>0.25</v>
      </c>
      <c r="I63" s="37" t="s">
        <v>133</v>
      </c>
      <c r="J63" s="38" t="s">
        <v>36</v>
      </c>
      <c r="K63" s="33"/>
      <c r="L63" s="33"/>
      <c r="M63" s="39"/>
    </row>
    <row r="64" customFormat="false" ht="15" hidden="false" customHeight="false" outlineLevel="0" collapsed="false">
      <c r="A64" s="33" t="n">
        <v>8</v>
      </c>
      <c r="B64" s="34" t="n">
        <v>46332</v>
      </c>
      <c r="C64" s="33" t="str">
        <f aca="false">TEXT(B64,"dddd")</f>
        <v>Friday</v>
      </c>
      <c r="D64" s="33" t="n">
        <f aca="false">INT((A64-1)/6)+1</f>
        <v>2</v>
      </c>
      <c r="E64" s="35" t="n">
        <v>0.427083333333333</v>
      </c>
      <c r="F64" s="35" t="n">
        <v>0.479166666666667</v>
      </c>
      <c r="G64" s="33" t="str">
        <f aca="false">TEXT(E64,"h:mm")&amp;" to "&amp;TEXT(F64,"h:mm")</f>
        <v>10:15 to 11:30</v>
      </c>
      <c r="H64" s="36" t="n">
        <f aca="false">ROUND((F64-E64)*24,2)</f>
        <v>1.25</v>
      </c>
      <c r="I64" s="46" t="s">
        <v>190</v>
      </c>
      <c r="J64" s="47" t="s">
        <v>32</v>
      </c>
      <c r="K64" s="33" t="s">
        <v>8</v>
      </c>
      <c r="L64" s="33" t="s">
        <v>26</v>
      </c>
      <c r="M64" s="39" t="s">
        <v>145</v>
      </c>
    </row>
    <row r="65" customFormat="false" ht="15" hidden="false" customHeight="false" outlineLevel="0" collapsed="false">
      <c r="A65" s="33" t="n">
        <v>8</v>
      </c>
      <c r="B65" s="34" t="n">
        <v>46332</v>
      </c>
      <c r="C65" s="33" t="str">
        <f aca="false">TEXT(B65,"dddd")</f>
        <v>Friday</v>
      </c>
      <c r="D65" s="33" t="n">
        <f aca="false">INT((A65-1)/6)+1</f>
        <v>2</v>
      </c>
      <c r="E65" s="35" t="n">
        <v>0.479166666666667</v>
      </c>
      <c r="F65" s="35" t="n">
        <v>0.541666666666667</v>
      </c>
      <c r="G65" s="33" t="str">
        <f aca="false">TEXT(E65,"h:mm")&amp;" to "&amp;TEXT(F65,"h:mm")</f>
        <v>11:30 to 13:00</v>
      </c>
      <c r="H65" s="36" t="n">
        <f aca="false">ROUND((F65-E65)*24,2)</f>
        <v>1.5</v>
      </c>
      <c r="I65" s="37" t="s">
        <v>136</v>
      </c>
      <c r="J65" s="38" t="s">
        <v>36</v>
      </c>
      <c r="K65" s="33"/>
      <c r="L65" s="33"/>
      <c r="M65" s="39"/>
    </row>
    <row r="66" customFormat="false" ht="15" hidden="false" customHeight="false" outlineLevel="0" collapsed="false">
      <c r="A66" s="33" t="n">
        <v>8</v>
      </c>
      <c r="B66" s="34" t="n">
        <v>46332</v>
      </c>
      <c r="C66" s="33" t="str">
        <f aca="false">TEXT(B66,"dddd")</f>
        <v>Friday</v>
      </c>
      <c r="D66" s="33" t="n">
        <f aca="false">INT((A66-1)/6)+1</f>
        <v>2</v>
      </c>
      <c r="E66" s="35" t="n">
        <v>0.541666666666667</v>
      </c>
      <c r="F66" s="35" t="n">
        <v>0.583333333333333</v>
      </c>
      <c r="G66" s="33" t="str">
        <f aca="false">TEXT(E66,"h:mm")&amp;" to "&amp;TEXT(F66,"h:mm")</f>
        <v>13:00 to 14:00</v>
      </c>
      <c r="H66" s="36" t="n">
        <f aca="false">ROUND((F66-E66)*24,2)</f>
        <v>1</v>
      </c>
      <c r="I66" s="44" t="s">
        <v>191</v>
      </c>
      <c r="J66" s="45" t="s">
        <v>31</v>
      </c>
      <c r="K66" s="33" t="s">
        <v>7</v>
      </c>
      <c r="L66" s="33" t="s">
        <v>21</v>
      </c>
      <c r="M66" s="39" t="s">
        <v>192</v>
      </c>
    </row>
    <row r="67" customFormat="false" ht="15" hidden="false" customHeight="false" outlineLevel="0" collapsed="false">
      <c r="A67" s="33" t="n">
        <v>8</v>
      </c>
      <c r="B67" s="34" t="n">
        <v>46332</v>
      </c>
      <c r="C67" s="33" t="str">
        <f aca="false">TEXT(B67,"dddd")</f>
        <v>Friday</v>
      </c>
      <c r="D67" s="33" t="n">
        <f aca="false">INT((A67-1)/6)+1</f>
        <v>2</v>
      </c>
      <c r="E67" s="35" t="n">
        <v>0.583333333333333</v>
      </c>
      <c r="F67" s="35" t="n">
        <v>0.59375</v>
      </c>
      <c r="G67" s="33" t="str">
        <f aca="false">TEXT(E67,"h:mm")&amp;" to "&amp;TEXT(F67,"h:mm")</f>
        <v>14:00 to 14:15</v>
      </c>
      <c r="H67" s="36" t="n">
        <f aca="false">ROUND((F67-E67)*24,2)</f>
        <v>0.25</v>
      </c>
      <c r="I67" s="37" t="s">
        <v>139</v>
      </c>
      <c r="J67" s="38" t="s">
        <v>36</v>
      </c>
      <c r="K67" s="33"/>
      <c r="L67" s="33"/>
      <c r="M67" s="39"/>
    </row>
    <row r="68" customFormat="false" ht="15" hidden="false" customHeight="false" outlineLevel="0" collapsed="false">
      <c r="A68" s="33" t="n">
        <v>8</v>
      </c>
      <c r="B68" s="34" t="n">
        <v>46332</v>
      </c>
      <c r="C68" s="33" t="str">
        <f aca="false">TEXT(B68,"dddd")</f>
        <v>Friday</v>
      </c>
      <c r="D68" s="33" t="n">
        <f aca="false">INT((A68-1)/6)+1</f>
        <v>2</v>
      </c>
      <c r="E68" s="35" t="n">
        <v>0.59375</v>
      </c>
      <c r="F68" s="35" t="n">
        <v>0.635416666666667</v>
      </c>
      <c r="G68" s="33" t="str">
        <f aca="false">TEXT(E68,"h:mm")&amp;" to "&amp;TEXT(F68,"h:mm")</f>
        <v>14:15 to 15:15</v>
      </c>
      <c r="H68" s="36" t="n">
        <f aca="false">ROUND((F68-E68)*24,2)</f>
        <v>1</v>
      </c>
      <c r="I68" s="44" t="s">
        <v>193</v>
      </c>
      <c r="J68" s="45" t="s">
        <v>31</v>
      </c>
      <c r="K68" s="33" t="s">
        <v>7</v>
      </c>
      <c r="L68" s="33" t="s">
        <v>21</v>
      </c>
      <c r="M68" s="39" t="s">
        <v>194</v>
      </c>
    </row>
    <row r="69" customFormat="false" ht="15" hidden="false" customHeight="false" outlineLevel="0" collapsed="false">
      <c r="A69" s="33" t="n">
        <v>8</v>
      </c>
      <c r="B69" s="34" t="n">
        <v>46332</v>
      </c>
      <c r="C69" s="33" t="str">
        <f aca="false">TEXT(B69,"dddd")</f>
        <v>Friday</v>
      </c>
      <c r="D69" s="33" t="n">
        <f aca="false">INT((A69-1)/6)+1</f>
        <v>2</v>
      </c>
      <c r="E69" s="35" t="n">
        <v>0.635416666666667</v>
      </c>
      <c r="F69" s="35" t="n">
        <v>0.645833333333333</v>
      </c>
      <c r="G69" s="33" t="str">
        <f aca="false">TEXT(E69,"h:mm")&amp;" to "&amp;TEXT(F69,"h:mm")</f>
        <v>15:15 to 15:30</v>
      </c>
      <c r="H69" s="36" t="n">
        <f aca="false">ROUND((F69-E69)*24,2)</f>
        <v>0.25</v>
      </c>
      <c r="I69" s="37" t="s">
        <v>139</v>
      </c>
      <c r="J69" s="38" t="s">
        <v>36</v>
      </c>
      <c r="K69" s="33"/>
      <c r="L69" s="33"/>
      <c r="M69" s="39"/>
    </row>
    <row r="70" customFormat="false" ht="35.05" hidden="false" customHeight="false" outlineLevel="0" collapsed="false">
      <c r="A70" s="33" t="n">
        <v>8</v>
      </c>
      <c r="B70" s="34" t="n">
        <v>46332</v>
      </c>
      <c r="C70" s="33" t="str">
        <f aca="false">TEXT(B70,"dddd")</f>
        <v>Friday</v>
      </c>
      <c r="D70" s="33" t="n">
        <f aca="false">INT((A70-1)/6)+1</f>
        <v>2</v>
      </c>
      <c r="E70" s="35" t="n">
        <v>0.645833333333333</v>
      </c>
      <c r="F70" s="35" t="n">
        <v>0.6875</v>
      </c>
      <c r="G70" s="33" t="str">
        <f aca="false">TEXT(E70,"h:mm")&amp;" to "&amp;TEXT(F70,"h:mm")</f>
        <v>15:30 to 16:30</v>
      </c>
      <c r="H70" s="36" t="n">
        <f aca="false">ROUND((F70-E70)*24,2)</f>
        <v>1</v>
      </c>
      <c r="I70" s="48" t="s">
        <v>164</v>
      </c>
      <c r="J70" s="49" t="s">
        <v>33</v>
      </c>
      <c r="K70" s="33" t="s">
        <v>7</v>
      </c>
      <c r="L70" s="33" t="s">
        <v>21</v>
      </c>
      <c r="M70" s="39" t="s">
        <v>195</v>
      </c>
    </row>
    <row r="71" customFormat="false" ht="15" hidden="false" customHeight="false" outlineLevel="0" collapsed="false">
      <c r="A71" s="33" t="n">
        <v>9</v>
      </c>
      <c r="B71" s="34" t="n">
        <v>46333</v>
      </c>
      <c r="C71" s="33" t="str">
        <f aca="false">TEXT(B71,"dddd")</f>
        <v>Saturday</v>
      </c>
      <c r="D71" s="33" t="n">
        <f aca="false">INT((A71-1)/6)+1</f>
        <v>2</v>
      </c>
      <c r="E71" s="35" t="n">
        <v>0.354166666666667</v>
      </c>
      <c r="F71" s="35" t="n">
        <v>0.375</v>
      </c>
      <c r="G71" s="33" t="str">
        <f aca="false">TEXT(E71,"h:mm")&amp;" to "&amp;TEXT(F71,"h:mm")</f>
        <v>8:30 to 9:00</v>
      </c>
      <c r="H71" s="36" t="n">
        <f aca="false">ROUND((F71-E71)*24,2)</f>
        <v>0.5</v>
      </c>
      <c r="I71" s="42" t="s">
        <v>175</v>
      </c>
      <c r="J71" s="43" t="s">
        <v>34</v>
      </c>
      <c r="K71" s="33"/>
      <c r="L71" s="33"/>
      <c r="M71" s="39" t="s">
        <v>176</v>
      </c>
    </row>
    <row r="72" customFormat="false" ht="23.85" hidden="false" customHeight="false" outlineLevel="0" collapsed="false">
      <c r="A72" s="33" t="n">
        <v>9</v>
      </c>
      <c r="B72" s="34" t="n">
        <v>46333</v>
      </c>
      <c r="C72" s="33" t="str">
        <f aca="false">TEXT(B72,"dddd")</f>
        <v>Saturday</v>
      </c>
      <c r="D72" s="33" t="n">
        <f aca="false">INT((A72-1)/6)+1</f>
        <v>2</v>
      </c>
      <c r="E72" s="35" t="n">
        <v>0.375</v>
      </c>
      <c r="F72" s="35" t="n">
        <v>0.4375</v>
      </c>
      <c r="G72" s="33" t="str">
        <f aca="false">TEXT(E72,"h:mm")&amp;" to "&amp;TEXT(F72,"h:mm")</f>
        <v>9:00 to 10:30</v>
      </c>
      <c r="H72" s="36" t="n">
        <f aca="false">ROUND((F72-E72)*24,2)</f>
        <v>1.5</v>
      </c>
      <c r="I72" s="44" t="s">
        <v>177</v>
      </c>
      <c r="J72" s="45" t="s">
        <v>31</v>
      </c>
      <c r="K72" s="33" t="s">
        <v>7</v>
      </c>
      <c r="L72" s="33" t="s">
        <v>16</v>
      </c>
      <c r="M72" s="39" t="s">
        <v>196</v>
      </c>
    </row>
    <row r="73" customFormat="false" ht="15" hidden="false" customHeight="false" outlineLevel="0" collapsed="false">
      <c r="A73" s="33" t="n">
        <v>9</v>
      </c>
      <c r="B73" s="34" t="n">
        <v>46333</v>
      </c>
      <c r="C73" s="33" t="str">
        <f aca="false">TEXT(B73,"dddd")</f>
        <v>Saturday</v>
      </c>
      <c r="D73" s="33" t="n">
        <f aca="false">INT((A73-1)/6)+1</f>
        <v>2</v>
      </c>
      <c r="E73" s="35" t="n">
        <v>0.4375</v>
      </c>
      <c r="F73" s="35" t="n">
        <v>0.447916666666667</v>
      </c>
      <c r="G73" s="33" t="str">
        <f aca="false">TEXT(E73,"h:mm")&amp;" to "&amp;TEXT(F73,"h:mm")</f>
        <v>10:30 to 10:45</v>
      </c>
      <c r="H73" s="36" t="n">
        <f aca="false">ROUND((F73-E73)*24,2)</f>
        <v>0.25</v>
      </c>
      <c r="I73" s="37" t="s">
        <v>133</v>
      </c>
      <c r="J73" s="38" t="s">
        <v>36</v>
      </c>
      <c r="K73" s="33"/>
      <c r="L73" s="33"/>
      <c r="M73" s="39"/>
    </row>
    <row r="74" customFormat="false" ht="15" hidden="false" customHeight="false" outlineLevel="0" collapsed="false">
      <c r="A74" s="33" t="n">
        <v>9</v>
      </c>
      <c r="B74" s="34" t="n">
        <v>46333</v>
      </c>
      <c r="C74" s="33" t="str">
        <f aca="false">TEXT(B74,"dddd")</f>
        <v>Saturday</v>
      </c>
      <c r="D74" s="33" t="n">
        <f aca="false">INT((A74-1)/6)+1</f>
        <v>2</v>
      </c>
      <c r="E74" s="35" t="n">
        <v>0.447916666666667</v>
      </c>
      <c r="F74" s="35" t="n">
        <v>0.5</v>
      </c>
      <c r="G74" s="33" t="str">
        <f aca="false">TEXT(E74,"h:mm")&amp;" to "&amp;TEXT(F74,"h:mm")</f>
        <v>10:45 to 12:00</v>
      </c>
      <c r="H74" s="36" t="n">
        <f aca="false">ROUND((F74-E74)*24,2)</f>
        <v>1.25</v>
      </c>
      <c r="I74" s="44" t="s">
        <v>179</v>
      </c>
      <c r="J74" s="45" t="s">
        <v>31</v>
      </c>
      <c r="K74" s="33" t="s">
        <v>7</v>
      </c>
      <c r="L74" s="33" t="s">
        <v>16</v>
      </c>
      <c r="M74" s="39" t="s">
        <v>197</v>
      </c>
    </row>
    <row r="75" customFormat="false" ht="15" hidden="false" customHeight="false" outlineLevel="0" collapsed="false">
      <c r="A75" s="33" t="n">
        <v>9</v>
      </c>
      <c r="B75" s="34" t="n">
        <v>46333</v>
      </c>
      <c r="C75" s="33" t="str">
        <f aca="false">TEXT(B75,"dddd")</f>
        <v>Saturday</v>
      </c>
      <c r="D75" s="33" t="n">
        <f aca="false">INT((A75-1)/6)+1</f>
        <v>2</v>
      </c>
      <c r="E75" s="35" t="n">
        <v>0.5</v>
      </c>
      <c r="F75" s="35" t="n">
        <v>0.541666666666667</v>
      </c>
      <c r="G75" s="33" t="str">
        <f aca="false">TEXT(E75,"h:mm")&amp;" to "&amp;TEXT(F75,"h:mm")</f>
        <v>12:00 to 13:00</v>
      </c>
      <c r="H75" s="36" t="n">
        <f aca="false">ROUND((F75-E75)*24,2)</f>
        <v>1</v>
      </c>
      <c r="I75" s="37" t="s">
        <v>136</v>
      </c>
      <c r="J75" s="38" t="s">
        <v>36</v>
      </c>
      <c r="K75" s="33"/>
      <c r="L75" s="33"/>
      <c r="M75" s="39"/>
    </row>
    <row r="76" customFormat="false" ht="15" hidden="false" customHeight="false" outlineLevel="0" collapsed="false">
      <c r="A76" s="33" t="n">
        <v>9</v>
      </c>
      <c r="B76" s="34" t="n">
        <v>46333</v>
      </c>
      <c r="C76" s="33" t="str">
        <f aca="false">TEXT(B76,"dddd")</f>
        <v>Saturday</v>
      </c>
      <c r="D76" s="33" t="n">
        <f aca="false">INT((A76-1)/6)+1</f>
        <v>2</v>
      </c>
      <c r="E76" s="35" t="n">
        <v>0.541666666666667</v>
      </c>
      <c r="F76" s="35" t="n">
        <v>0.604166666666667</v>
      </c>
      <c r="G76" s="33" t="str">
        <f aca="false">TEXT(E76,"h:mm")&amp;" to "&amp;TEXT(F76,"h:mm")</f>
        <v>13:00 to 14:30</v>
      </c>
      <c r="H76" s="36" t="n">
        <f aca="false">ROUND((F76-E76)*24,2)</f>
        <v>1.5</v>
      </c>
      <c r="I76" s="46" t="s">
        <v>198</v>
      </c>
      <c r="J76" s="47" t="s">
        <v>32</v>
      </c>
      <c r="K76" s="33" t="s">
        <v>8</v>
      </c>
      <c r="L76" s="33" t="s">
        <v>28</v>
      </c>
      <c r="M76" s="39" t="s">
        <v>199</v>
      </c>
    </row>
    <row r="77" customFormat="false" ht="15" hidden="false" customHeight="false" outlineLevel="0" collapsed="false">
      <c r="A77" s="33" t="n">
        <v>9</v>
      </c>
      <c r="B77" s="34" t="n">
        <v>46333</v>
      </c>
      <c r="C77" s="33" t="str">
        <f aca="false">TEXT(B77,"dddd")</f>
        <v>Saturday</v>
      </c>
      <c r="D77" s="33" t="n">
        <f aca="false">INT((A77-1)/6)+1</f>
        <v>2</v>
      </c>
      <c r="E77" s="35" t="n">
        <v>0.604166666666667</v>
      </c>
      <c r="F77" s="35" t="n">
        <v>0.614583333333333</v>
      </c>
      <c r="G77" s="33" t="str">
        <f aca="false">TEXT(E77,"h:mm")&amp;" to "&amp;TEXT(F77,"h:mm")</f>
        <v>14:30 to 14:45</v>
      </c>
      <c r="H77" s="36" t="n">
        <f aca="false">ROUND((F77-E77)*24,2)</f>
        <v>0.25</v>
      </c>
      <c r="I77" s="37" t="s">
        <v>139</v>
      </c>
      <c r="J77" s="38" t="s">
        <v>36</v>
      </c>
      <c r="K77" s="33"/>
      <c r="L77" s="33"/>
      <c r="M77" s="39"/>
    </row>
    <row r="78" customFormat="false" ht="15" hidden="false" customHeight="false" outlineLevel="0" collapsed="false">
      <c r="A78" s="33" t="n">
        <v>9</v>
      </c>
      <c r="B78" s="34" t="n">
        <v>46333</v>
      </c>
      <c r="C78" s="33" t="str">
        <f aca="false">TEXT(B78,"dddd")</f>
        <v>Saturday</v>
      </c>
      <c r="D78" s="33" t="n">
        <f aca="false">INT((A78-1)/6)+1</f>
        <v>2</v>
      </c>
      <c r="E78" s="35" t="n">
        <v>0.614583333333333</v>
      </c>
      <c r="F78" s="35" t="n">
        <v>0.645833333333333</v>
      </c>
      <c r="G78" s="33" t="str">
        <f aca="false">TEXT(E78,"h:mm")&amp;" to "&amp;TEXT(F78,"h:mm")</f>
        <v>14:45 to 15:30</v>
      </c>
      <c r="H78" s="36" t="n">
        <f aca="false">ROUND((F78-E78)*24,2)</f>
        <v>0.75</v>
      </c>
      <c r="I78" s="46" t="s">
        <v>200</v>
      </c>
      <c r="J78" s="47" t="s">
        <v>32</v>
      </c>
      <c r="K78" s="33" t="s">
        <v>8</v>
      </c>
      <c r="L78" s="33" t="s">
        <v>28</v>
      </c>
      <c r="M78" s="39"/>
    </row>
    <row r="79" customFormat="false" ht="15" hidden="false" customHeight="false" outlineLevel="0" collapsed="false">
      <c r="A79" s="33" t="n">
        <v>9</v>
      </c>
      <c r="B79" s="34" t="n">
        <v>46333</v>
      </c>
      <c r="C79" s="33" t="str">
        <f aca="false">TEXT(B79,"dddd")</f>
        <v>Saturday</v>
      </c>
      <c r="D79" s="33" t="n">
        <f aca="false">INT((A79-1)/6)+1</f>
        <v>2</v>
      </c>
      <c r="E79" s="35" t="n">
        <v>0.645833333333333</v>
      </c>
      <c r="F79" s="35" t="n">
        <v>0.6875</v>
      </c>
      <c r="G79" s="33" t="str">
        <f aca="false">TEXT(E79,"h:mm")&amp;" to "&amp;TEXT(F79,"h:mm")</f>
        <v>15:30 to 16:30</v>
      </c>
      <c r="H79" s="36" t="n">
        <f aca="false">ROUND((F79-E79)*24,2)</f>
        <v>1</v>
      </c>
      <c r="I79" s="48" t="s">
        <v>149</v>
      </c>
      <c r="J79" s="49" t="s">
        <v>33</v>
      </c>
      <c r="K79" s="33" t="s">
        <v>8</v>
      </c>
      <c r="L79" s="33" t="s">
        <v>28</v>
      </c>
      <c r="M79" s="39" t="s">
        <v>201</v>
      </c>
    </row>
    <row r="80" customFormat="false" ht="15" hidden="false" customHeight="false" outlineLevel="0" collapsed="false">
      <c r="A80" s="33" t="n">
        <v>10</v>
      </c>
      <c r="B80" s="34" t="n">
        <v>46334</v>
      </c>
      <c r="C80" s="33" t="str">
        <f aca="false">TEXT(B80,"dddd")</f>
        <v>Sunday</v>
      </c>
      <c r="D80" s="33" t="n">
        <f aca="false">INT((A80-1)/6)+1</f>
        <v>2</v>
      </c>
      <c r="E80" s="35" t="n">
        <v>0.354166666666667</v>
      </c>
      <c r="F80" s="35" t="n">
        <v>0.416666666666667</v>
      </c>
      <c r="G80" s="33" t="str">
        <f aca="false">TEXT(E80,"h:mm")&amp;" to "&amp;TEXT(F80,"h:mm")</f>
        <v>8:30 to 10:00</v>
      </c>
      <c r="H80" s="36" t="n">
        <f aca="false">ROUND((F80-E80)*24,2)</f>
        <v>1.5</v>
      </c>
      <c r="I80" s="46" t="s">
        <v>202</v>
      </c>
      <c r="J80" s="47" t="s">
        <v>32</v>
      </c>
      <c r="K80" s="33" t="s">
        <v>8</v>
      </c>
      <c r="L80" s="33" t="s">
        <v>26</v>
      </c>
      <c r="M80" s="39" t="s">
        <v>199</v>
      </c>
    </row>
    <row r="81" customFormat="false" ht="15" hidden="false" customHeight="false" outlineLevel="0" collapsed="false">
      <c r="A81" s="33" t="n">
        <v>10</v>
      </c>
      <c r="B81" s="34" t="n">
        <v>46334</v>
      </c>
      <c r="C81" s="33" t="str">
        <f aca="false">TEXT(B81,"dddd")</f>
        <v>Sunday</v>
      </c>
      <c r="D81" s="33" t="n">
        <f aca="false">INT((A81-1)/6)+1</f>
        <v>2</v>
      </c>
      <c r="E81" s="35" t="n">
        <v>0.416666666666667</v>
      </c>
      <c r="F81" s="35" t="n">
        <v>0.427083333333333</v>
      </c>
      <c r="G81" s="33" t="str">
        <f aca="false">TEXT(E81,"h:mm")&amp;" to "&amp;TEXT(F81,"h:mm")</f>
        <v>10:00 to 10:15</v>
      </c>
      <c r="H81" s="36" t="n">
        <f aca="false">ROUND((F81-E81)*24,2)</f>
        <v>0.25</v>
      </c>
      <c r="I81" s="37" t="s">
        <v>133</v>
      </c>
      <c r="J81" s="38" t="s">
        <v>36</v>
      </c>
      <c r="K81" s="33"/>
      <c r="L81" s="33"/>
      <c r="M81" s="39"/>
    </row>
    <row r="82" customFormat="false" ht="15" hidden="false" customHeight="false" outlineLevel="0" collapsed="false">
      <c r="A82" s="33" t="n">
        <v>10</v>
      </c>
      <c r="B82" s="34" t="n">
        <v>46334</v>
      </c>
      <c r="C82" s="33" t="str">
        <f aca="false">TEXT(B82,"dddd")</f>
        <v>Sunday</v>
      </c>
      <c r="D82" s="33" t="n">
        <f aca="false">INT((A82-1)/6)+1</f>
        <v>2</v>
      </c>
      <c r="E82" s="35" t="n">
        <v>0.427083333333333</v>
      </c>
      <c r="F82" s="35" t="n">
        <v>0.479166666666667</v>
      </c>
      <c r="G82" s="33" t="str">
        <f aca="false">TEXT(E82,"h:mm")&amp;" to "&amp;TEXT(F82,"h:mm")</f>
        <v>10:15 to 11:30</v>
      </c>
      <c r="H82" s="36" t="n">
        <f aca="false">ROUND((F82-E82)*24,2)</f>
        <v>1.25</v>
      </c>
      <c r="I82" s="46" t="s">
        <v>203</v>
      </c>
      <c r="J82" s="47" t="s">
        <v>32</v>
      </c>
      <c r="K82" s="33" t="s">
        <v>8</v>
      </c>
      <c r="L82" s="33" t="s">
        <v>26</v>
      </c>
      <c r="M82" s="39" t="s">
        <v>199</v>
      </c>
    </row>
    <row r="83" customFormat="false" ht="15" hidden="false" customHeight="false" outlineLevel="0" collapsed="false">
      <c r="A83" s="33" t="n">
        <v>10</v>
      </c>
      <c r="B83" s="34" t="n">
        <v>46334</v>
      </c>
      <c r="C83" s="33" t="str">
        <f aca="false">TEXT(B83,"dddd")</f>
        <v>Sunday</v>
      </c>
      <c r="D83" s="33" t="n">
        <f aca="false">INT((A83-1)/6)+1</f>
        <v>2</v>
      </c>
      <c r="E83" s="35" t="n">
        <v>0.479166666666667</v>
      </c>
      <c r="F83" s="35" t="n">
        <v>0.541666666666667</v>
      </c>
      <c r="G83" s="33" t="str">
        <f aca="false">TEXT(E83,"h:mm")&amp;" to "&amp;TEXT(F83,"h:mm")</f>
        <v>11:30 to 13:00</v>
      </c>
      <c r="H83" s="36" t="n">
        <f aca="false">ROUND((F83-E83)*24,2)</f>
        <v>1.5</v>
      </c>
      <c r="I83" s="37" t="s">
        <v>136</v>
      </c>
      <c r="J83" s="38" t="s">
        <v>36</v>
      </c>
      <c r="K83" s="33"/>
      <c r="L83" s="33"/>
      <c r="M83" s="39"/>
    </row>
    <row r="84" customFormat="false" ht="15" hidden="false" customHeight="false" outlineLevel="0" collapsed="false">
      <c r="A84" s="33" t="n">
        <v>10</v>
      </c>
      <c r="B84" s="34" t="n">
        <v>46334</v>
      </c>
      <c r="C84" s="33" t="str">
        <f aca="false">TEXT(B84,"dddd")</f>
        <v>Sunday</v>
      </c>
      <c r="D84" s="33" t="n">
        <f aca="false">INT((A84-1)/6)+1</f>
        <v>2</v>
      </c>
      <c r="E84" s="35" t="n">
        <v>0.541666666666667</v>
      </c>
      <c r="F84" s="35" t="n">
        <v>0.583333333333333</v>
      </c>
      <c r="G84" s="33" t="str">
        <f aca="false">TEXT(E84,"h:mm")&amp;" to "&amp;TEXT(F84,"h:mm")</f>
        <v>13:00 to 14:00</v>
      </c>
      <c r="H84" s="36" t="n">
        <f aca="false">ROUND((F84-E84)*24,2)</f>
        <v>1</v>
      </c>
      <c r="I84" s="44" t="s">
        <v>191</v>
      </c>
      <c r="J84" s="45" t="s">
        <v>31</v>
      </c>
      <c r="K84" s="33" t="s">
        <v>7</v>
      </c>
      <c r="L84" s="33" t="s">
        <v>21</v>
      </c>
      <c r="M84" s="39" t="s">
        <v>204</v>
      </c>
    </row>
    <row r="85" customFormat="false" ht="15" hidden="false" customHeight="false" outlineLevel="0" collapsed="false">
      <c r="A85" s="33" t="n">
        <v>10</v>
      </c>
      <c r="B85" s="34" t="n">
        <v>46334</v>
      </c>
      <c r="C85" s="33" t="str">
        <f aca="false">TEXT(B85,"dddd")</f>
        <v>Sunday</v>
      </c>
      <c r="D85" s="33" t="n">
        <f aca="false">INT((A85-1)/6)+1</f>
        <v>2</v>
      </c>
      <c r="E85" s="35" t="n">
        <v>0.583333333333333</v>
      </c>
      <c r="F85" s="35" t="n">
        <v>0.59375</v>
      </c>
      <c r="G85" s="33" t="str">
        <f aca="false">TEXT(E85,"h:mm")&amp;" to "&amp;TEXT(F85,"h:mm")</f>
        <v>14:00 to 14:15</v>
      </c>
      <c r="H85" s="36" t="n">
        <f aca="false">ROUND((F85-E85)*24,2)</f>
        <v>0.25</v>
      </c>
      <c r="I85" s="37" t="s">
        <v>139</v>
      </c>
      <c r="J85" s="38" t="s">
        <v>36</v>
      </c>
      <c r="K85" s="33"/>
      <c r="L85" s="33"/>
      <c r="M85" s="39"/>
    </row>
    <row r="86" customFormat="false" ht="15" hidden="false" customHeight="false" outlineLevel="0" collapsed="false">
      <c r="A86" s="33" t="n">
        <v>10</v>
      </c>
      <c r="B86" s="34" t="n">
        <v>46334</v>
      </c>
      <c r="C86" s="33" t="str">
        <f aca="false">TEXT(B86,"dddd")</f>
        <v>Sunday</v>
      </c>
      <c r="D86" s="33" t="n">
        <f aca="false">INT((A86-1)/6)+1</f>
        <v>2</v>
      </c>
      <c r="E86" s="35" t="n">
        <v>0.59375</v>
      </c>
      <c r="F86" s="35" t="n">
        <v>0.635416666666667</v>
      </c>
      <c r="G86" s="33" t="str">
        <f aca="false">TEXT(E86,"h:mm")&amp;" to "&amp;TEXT(F86,"h:mm")</f>
        <v>14:15 to 15:15</v>
      </c>
      <c r="H86" s="36" t="n">
        <f aca="false">ROUND((F86-E86)*24,2)</f>
        <v>1</v>
      </c>
      <c r="I86" s="44" t="s">
        <v>193</v>
      </c>
      <c r="J86" s="45" t="s">
        <v>31</v>
      </c>
      <c r="K86" s="33" t="s">
        <v>7</v>
      </c>
      <c r="L86" s="33" t="s">
        <v>21</v>
      </c>
      <c r="M86" s="39" t="s">
        <v>205</v>
      </c>
    </row>
    <row r="87" customFormat="false" ht="15" hidden="false" customHeight="false" outlineLevel="0" collapsed="false">
      <c r="A87" s="33" t="n">
        <v>10</v>
      </c>
      <c r="B87" s="34" t="n">
        <v>46334</v>
      </c>
      <c r="C87" s="33" t="str">
        <f aca="false">TEXT(B87,"dddd")</f>
        <v>Sunday</v>
      </c>
      <c r="D87" s="33" t="n">
        <f aca="false">INT((A87-1)/6)+1</f>
        <v>2</v>
      </c>
      <c r="E87" s="35" t="n">
        <v>0.635416666666667</v>
      </c>
      <c r="F87" s="35" t="n">
        <v>0.645833333333333</v>
      </c>
      <c r="G87" s="33" t="str">
        <f aca="false">TEXT(E87,"h:mm")&amp;" to "&amp;TEXT(F87,"h:mm")</f>
        <v>15:15 to 15:30</v>
      </c>
      <c r="H87" s="36" t="n">
        <f aca="false">ROUND((F87-E87)*24,2)</f>
        <v>0.25</v>
      </c>
      <c r="I87" s="37" t="s">
        <v>139</v>
      </c>
      <c r="J87" s="38" t="s">
        <v>36</v>
      </c>
      <c r="K87" s="33"/>
      <c r="L87" s="33"/>
      <c r="M87" s="39"/>
    </row>
    <row r="88" customFormat="false" ht="35.05" hidden="false" customHeight="false" outlineLevel="0" collapsed="false">
      <c r="A88" s="33" t="n">
        <v>10</v>
      </c>
      <c r="B88" s="34" t="n">
        <v>46334</v>
      </c>
      <c r="C88" s="33" t="str">
        <f aca="false">TEXT(B88,"dddd")</f>
        <v>Sunday</v>
      </c>
      <c r="D88" s="33" t="n">
        <f aca="false">INT((A88-1)/6)+1</f>
        <v>2</v>
      </c>
      <c r="E88" s="35" t="n">
        <v>0.645833333333333</v>
      </c>
      <c r="F88" s="35" t="n">
        <v>0.6875</v>
      </c>
      <c r="G88" s="33" t="str">
        <f aca="false">TEXT(E88,"h:mm")&amp;" to "&amp;TEXT(F88,"h:mm")</f>
        <v>15:30 to 16:30</v>
      </c>
      <c r="H88" s="36" t="n">
        <f aca="false">ROUND((F88-E88)*24,2)</f>
        <v>1</v>
      </c>
      <c r="I88" s="48" t="s">
        <v>164</v>
      </c>
      <c r="J88" s="49" t="s">
        <v>33</v>
      </c>
      <c r="K88" s="33" t="s">
        <v>7</v>
      </c>
      <c r="L88" s="33" t="s">
        <v>21</v>
      </c>
      <c r="M88" s="39" t="s">
        <v>206</v>
      </c>
    </row>
    <row r="89" customFormat="false" ht="15" hidden="false" customHeight="false" outlineLevel="0" collapsed="false">
      <c r="A89" s="33" t="n">
        <v>11</v>
      </c>
      <c r="B89" s="34" t="n">
        <v>46335</v>
      </c>
      <c r="C89" s="33" t="str">
        <f aca="false">TEXT(B89,"dddd")</f>
        <v>Monday</v>
      </c>
      <c r="D89" s="33" t="n">
        <f aca="false">INT((A89-1)/6)+1</f>
        <v>2</v>
      </c>
      <c r="E89" s="35" t="n">
        <v>0.354166666666667</v>
      </c>
      <c r="F89" s="35" t="n">
        <v>0.416666666666667</v>
      </c>
      <c r="G89" s="33" t="str">
        <f aca="false">TEXT(E89,"h:mm")&amp;" to "&amp;TEXT(F89,"h:mm")</f>
        <v>8:30 to 10:00</v>
      </c>
      <c r="H89" s="36" t="n">
        <f aca="false">ROUND((F89-E89)*24,2)</f>
        <v>1.5</v>
      </c>
      <c r="I89" s="46" t="s">
        <v>207</v>
      </c>
      <c r="J89" s="47" t="s">
        <v>32</v>
      </c>
      <c r="K89" s="33" t="s">
        <v>8</v>
      </c>
      <c r="L89" s="33" t="s">
        <v>26</v>
      </c>
      <c r="M89" s="39" t="s">
        <v>199</v>
      </c>
    </row>
    <row r="90" customFormat="false" ht="15" hidden="false" customHeight="false" outlineLevel="0" collapsed="false">
      <c r="A90" s="33" t="n">
        <v>11</v>
      </c>
      <c r="B90" s="34" t="n">
        <v>46335</v>
      </c>
      <c r="C90" s="33" t="str">
        <f aca="false">TEXT(B90,"dddd")</f>
        <v>Monday</v>
      </c>
      <c r="D90" s="33" t="n">
        <f aca="false">INT((A90-1)/6)+1</f>
        <v>2</v>
      </c>
      <c r="E90" s="35" t="n">
        <v>0.416666666666667</v>
      </c>
      <c r="F90" s="35" t="n">
        <v>0.427083333333333</v>
      </c>
      <c r="G90" s="33" t="str">
        <f aca="false">TEXT(E90,"h:mm")&amp;" to "&amp;TEXT(F90,"h:mm")</f>
        <v>10:00 to 10:15</v>
      </c>
      <c r="H90" s="36" t="n">
        <f aca="false">ROUND((F90-E90)*24,2)</f>
        <v>0.25</v>
      </c>
      <c r="I90" s="37" t="s">
        <v>133</v>
      </c>
      <c r="J90" s="38" t="s">
        <v>36</v>
      </c>
      <c r="K90" s="33"/>
      <c r="L90" s="33"/>
      <c r="M90" s="39"/>
    </row>
    <row r="91" customFormat="false" ht="15" hidden="false" customHeight="false" outlineLevel="0" collapsed="false">
      <c r="A91" s="33" t="n">
        <v>11</v>
      </c>
      <c r="B91" s="34" t="n">
        <v>46335</v>
      </c>
      <c r="C91" s="33" t="str">
        <f aca="false">TEXT(B91,"dddd")</f>
        <v>Monday</v>
      </c>
      <c r="D91" s="33" t="n">
        <f aca="false">INT((A91-1)/6)+1</f>
        <v>2</v>
      </c>
      <c r="E91" s="35" t="n">
        <v>0.427083333333333</v>
      </c>
      <c r="F91" s="35" t="n">
        <v>0.479166666666667</v>
      </c>
      <c r="G91" s="33" t="str">
        <f aca="false">TEXT(E91,"h:mm")&amp;" to "&amp;TEXT(F91,"h:mm")</f>
        <v>10:15 to 11:30</v>
      </c>
      <c r="H91" s="36" t="n">
        <f aca="false">ROUND((F91-E91)*24,2)</f>
        <v>1.25</v>
      </c>
      <c r="I91" s="46" t="s">
        <v>208</v>
      </c>
      <c r="J91" s="47" t="s">
        <v>32</v>
      </c>
      <c r="K91" s="33" t="s">
        <v>8</v>
      </c>
      <c r="L91" s="33" t="s">
        <v>26</v>
      </c>
      <c r="M91" s="39" t="s">
        <v>199</v>
      </c>
    </row>
    <row r="92" customFormat="false" ht="15" hidden="false" customHeight="false" outlineLevel="0" collapsed="false">
      <c r="A92" s="33" t="n">
        <v>11</v>
      </c>
      <c r="B92" s="34" t="n">
        <v>46335</v>
      </c>
      <c r="C92" s="33" t="str">
        <f aca="false">TEXT(B92,"dddd")</f>
        <v>Monday</v>
      </c>
      <c r="D92" s="33" t="n">
        <f aca="false">INT((A92-1)/6)+1</f>
        <v>2</v>
      </c>
      <c r="E92" s="35" t="n">
        <v>0.479166666666667</v>
      </c>
      <c r="F92" s="35" t="n">
        <v>0.541666666666667</v>
      </c>
      <c r="G92" s="33" t="str">
        <f aca="false">TEXT(E92,"h:mm")&amp;" to "&amp;TEXT(F92,"h:mm")</f>
        <v>11:30 to 13:00</v>
      </c>
      <c r="H92" s="36" t="n">
        <f aca="false">ROUND((F92-E92)*24,2)</f>
        <v>1.5</v>
      </c>
      <c r="I92" s="37" t="s">
        <v>136</v>
      </c>
      <c r="J92" s="38" t="s">
        <v>36</v>
      </c>
      <c r="K92" s="33"/>
      <c r="L92" s="33"/>
      <c r="M92" s="39"/>
    </row>
    <row r="93" customFormat="false" ht="15" hidden="false" customHeight="false" outlineLevel="0" collapsed="false">
      <c r="A93" s="33" t="n">
        <v>11</v>
      </c>
      <c r="B93" s="34" t="n">
        <v>46335</v>
      </c>
      <c r="C93" s="33" t="str">
        <f aca="false">TEXT(B93,"dddd")</f>
        <v>Monday</v>
      </c>
      <c r="D93" s="33" t="n">
        <f aca="false">INT((A93-1)/6)+1</f>
        <v>2</v>
      </c>
      <c r="E93" s="35" t="n">
        <v>0.541666666666667</v>
      </c>
      <c r="F93" s="35" t="n">
        <v>0.583333333333333</v>
      </c>
      <c r="G93" s="33" t="str">
        <f aca="false">TEXT(E93,"h:mm")&amp;" to "&amp;TEXT(F93,"h:mm")</f>
        <v>13:00 to 14:00</v>
      </c>
      <c r="H93" s="36" t="n">
        <f aca="false">ROUND((F93-E93)*24,2)</f>
        <v>1</v>
      </c>
      <c r="I93" s="44" t="s">
        <v>191</v>
      </c>
      <c r="J93" s="45" t="s">
        <v>31</v>
      </c>
      <c r="K93" s="33" t="s">
        <v>7</v>
      </c>
      <c r="L93" s="33" t="s">
        <v>21</v>
      </c>
      <c r="M93" s="39" t="s">
        <v>209</v>
      </c>
    </row>
    <row r="94" customFormat="false" ht="15" hidden="false" customHeight="false" outlineLevel="0" collapsed="false">
      <c r="A94" s="33" t="n">
        <v>11</v>
      </c>
      <c r="B94" s="34" t="n">
        <v>46335</v>
      </c>
      <c r="C94" s="33" t="str">
        <f aca="false">TEXT(B94,"dddd")</f>
        <v>Monday</v>
      </c>
      <c r="D94" s="33" t="n">
        <f aca="false">INT((A94-1)/6)+1</f>
        <v>2</v>
      </c>
      <c r="E94" s="35" t="n">
        <v>0.583333333333333</v>
      </c>
      <c r="F94" s="35" t="n">
        <v>0.59375</v>
      </c>
      <c r="G94" s="33" t="str">
        <f aca="false">TEXT(E94,"h:mm")&amp;" to "&amp;TEXT(F94,"h:mm")</f>
        <v>14:00 to 14:15</v>
      </c>
      <c r="H94" s="36" t="n">
        <f aca="false">ROUND((F94-E94)*24,2)</f>
        <v>0.25</v>
      </c>
      <c r="I94" s="37" t="s">
        <v>139</v>
      </c>
      <c r="J94" s="38" t="s">
        <v>36</v>
      </c>
      <c r="K94" s="33"/>
      <c r="L94" s="33"/>
      <c r="M94" s="39"/>
    </row>
    <row r="95" customFormat="false" ht="15" hidden="false" customHeight="false" outlineLevel="0" collapsed="false">
      <c r="A95" s="33" t="n">
        <v>11</v>
      </c>
      <c r="B95" s="34" t="n">
        <v>46335</v>
      </c>
      <c r="C95" s="33" t="str">
        <f aca="false">TEXT(B95,"dddd")</f>
        <v>Monday</v>
      </c>
      <c r="D95" s="33" t="n">
        <f aca="false">INT((A95-1)/6)+1</f>
        <v>2</v>
      </c>
      <c r="E95" s="35" t="n">
        <v>0.59375</v>
      </c>
      <c r="F95" s="35" t="n">
        <v>0.635416666666667</v>
      </c>
      <c r="G95" s="33" t="str">
        <f aca="false">TEXT(E95,"h:mm")&amp;" to "&amp;TEXT(F95,"h:mm")</f>
        <v>14:15 to 15:15</v>
      </c>
      <c r="H95" s="36" t="n">
        <f aca="false">ROUND((F95-E95)*24,2)</f>
        <v>1</v>
      </c>
      <c r="I95" s="44" t="s">
        <v>193</v>
      </c>
      <c r="J95" s="45" t="s">
        <v>31</v>
      </c>
      <c r="K95" s="33" t="s">
        <v>7</v>
      </c>
      <c r="L95" s="33" t="s">
        <v>21</v>
      </c>
      <c r="M95" s="39" t="s">
        <v>210</v>
      </c>
    </row>
    <row r="96" customFormat="false" ht="15" hidden="false" customHeight="false" outlineLevel="0" collapsed="false">
      <c r="A96" s="33" t="n">
        <v>11</v>
      </c>
      <c r="B96" s="34" t="n">
        <v>46335</v>
      </c>
      <c r="C96" s="33" t="str">
        <f aca="false">TEXT(B96,"dddd")</f>
        <v>Monday</v>
      </c>
      <c r="D96" s="33" t="n">
        <f aca="false">INT((A96-1)/6)+1</f>
        <v>2</v>
      </c>
      <c r="E96" s="35" t="n">
        <v>0.635416666666667</v>
      </c>
      <c r="F96" s="35" t="n">
        <v>0.645833333333333</v>
      </c>
      <c r="G96" s="33" t="str">
        <f aca="false">TEXT(E96,"h:mm")&amp;" to "&amp;TEXT(F96,"h:mm")</f>
        <v>15:15 to 15:30</v>
      </c>
      <c r="H96" s="36" t="n">
        <f aca="false">ROUND((F96-E96)*24,2)</f>
        <v>0.25</v>
      </c>
      <c r="I96" s="37" t="s">
        <v>139</v>
      </c>
      <c r="J96" s="38" t="s">
        <v>36</v>
      </c>
      <c r="K96" s="33"/>
      <c r="L96" s="33"/>
      <c r="M96" s="39"/>
    </row>
    <row r="97" customFormat="false" ht="35.05" hidden="false" customHeight="false" outlineLevel="0" collapsed="false">
      <c r="A97" s="33" t="n">
        <v>11</v>
      </c>
      <c r="B97" s="34" t="n">
        <v>46335</v>
      </c>
      <c r="C97" s="33" t="str">
        <f aca="false">TEXT(B97,"dddd")</f>
        <v>Monday</v>
      </c>
      <c r="D97" s="33" t="n">
        <f aca="false">INT((A97-1)/6)+1</f>
        <v>2</v>
      </c>
      <c r="E97" s="35" t="n">
        <v>0.645833333333333</v>
      </c>
      <c r="F97" s="35" t="n">
        <v>0.6875</v>
      </c>
      <c r="G97" s="33" t="str">
        <f aca="false">TEXT(E97,"h:mm")&amp;" to "&amp;TEXT(F97,"h:mm")</f>
        <v>15:30 to 16:30</v>
      </c>
      <c r="H97" s="36" t="n">
        <f aca="false">ROUND((F97-E97)*24,2)</f>
        <v>1</v>
      </c>
      <c r="I97" s="48" t="s">
        <v>164</v>
      </c>
      <c r="J97" s="49" t="s">
        <v>33</v>
      </c>
      <c r="K97" s="33" t="s">
        <v>7</v>
      </c>
      <c r="L97" s="33" t="s">
        <v>21</v>
      </c>
      <c r="M97" s="39" t="s">
        <v>211</v>
      </c>
    </row>
    <row r="98" customFormat="false" ht="15" hidden="false" customHeight="false" outlineLevel="0" collapsed="false">
      <c r="A98" s="33" t="n">
        <v>11</v>
      </c>
      <c r="B98" s="34" t="n">
        <v>46335</v>
      </c>
      <c r="C98" s="33" t="str">
        <f aca="false">TEXT(B98,"dddd")</f>
        <v>Monday</v>
      </c>
      <c r="D98" s="33" t="n">
        <f aca="false">INT((A98-1)/6)+1</f>
        <v>2</v>
      </c>
      <c r="E98" s="35" t="n">
        <v>0.770833333333333</v>
      </c>
      <c r="F98" s="35" t="n">
        <v>0.8125</v>
      </c>
      <c r="G98" s="33" t="str">
        <f aca="false">TEXT(E98,"h:mm")&amp;" to "&amp;TEXT(F98,"h:mm")</f>
        <v>18:30 to 19:30</v>
      </c>
      <c r="H98" s="36" t="n">
        <f aca="false">ROUND((F98-E98)*24,2)</f>
        <v>1</v>
      </c>
      <c r="I98" s="42" t="s">
        <v>212</v>
      </c>
      <c r="J98" s="43" t="s">
        <v>34</v>
      </c>
      <c r="K98" s="33" t="s">
        <v>7</v>
      </c>
      <c r="L98" s="33"/>
      <c r="M98" s="39" t="s">
        <v>143</v>
      </c>
    </row>
    <row r="99" customFormat="false" ht="15" hidden="false" customHeight="false" outlineLevel="0" collapsed="false">
      <c r="A99" s="33" t="n">
        <v>12</v>
      </c>
      <c r="B99" s="34" t="n">
        <v>46336</v>
      </c>
      <c r="C99" s="33" t="str">
        <f aca="false">TEXT(B99,"dddd")</f>
        <v>Tuesday</v>
      </c>
      <c r="D99" s="33" t="n">
        <f aca="false">INT((A99-1)/6)+1</f>
        <v>2</v>
      </c>
      <c r="E99" s="35" t="n">
        <v>0.354166666666667</v>
      </c>
      <c r="F99" s="35" t="n">
        <v>0.416666666666667</v>
      </c>
      <c r="G99" s="33" t="str">
        <f aca="false">TEXT(E99,"h:mm")&amp;" to "&amp;TEXT(F99,"h:mm")</f>
        <v>8:30 to 10:00</v>
      </c>
      <c r="H99" s="36" t="n">
        <f aca="false">ROUND((F99-E99)*24,2)</f>
        <v>1.5</v>
      </c>
      <c r="I99" s="46" t="s">
        <v>213</v>
      </c>
      <c r="J99" s="47" t="s">
        <v>32</v>
      </c>
      <c r="K99" s="33" t="s">
        <v>8</v>
      </c>
      <c r="L99" s="33" t="s">
        <v>26</v>
      </c>
      <c r="M99" s="39" t="s">
        <v>199</v>
      </c>
    </row>
    <row r="100" customFormat="false" ht="15" hidden="false" customHeight="false" outlineLevel="0" collapsed="false">
      <c r="A100" s="33" t="n">
        <v>12</v>
      </c>
      <c r="B100" s="34" t="n">
        <v>46336</v>
      </c>
      <c r="C100" s="33" t="str">
        <f aca="false">TEXT(B100,"dddd")</f>
        <v>Tuesday</v>
      </c>
      <c r="D100" s="33" t="n">
        <f aca="false">INT((A100-1)/6)+1</f>
        <v>2</v>
      </c>
      <c r="E100" s="35" t="n">
        <v>0.416666666666667</v>
      </c>
      <c r="F100" s="35" t="n">
        <v>0.427083333333333</v>
      </c>
      <c r="G100" s="33" t="str">
        <f aca="false">TEXT(E100,"h:mm")&amp;" to "&amp;TEXT(F100,"h:mm")</f>
        <v>10:00 to 10:15</v>
      </c>
      <c r="H100" s="36" t="n">
        <f aca="false">ROUND((F100-E100)*24,2)</f>
        <v>0.25</v>
      </c>
      <c r="I100" s="37" t="s">
        <v>133</v>
      </c>
      <c r="J100" s="38" t="s">
        <v>36</v>
      </c>
      <c r="K100" s="33"/>
      <c r="L100" s="33"/>
      <c r="M100" s="39"/>
    </row>
    <row r="101" customFormat="false" ht="23.85" hidden="false" customHeight="false" outlineLevel="0" collapsed="false">
      <c r="A101" s="33" t="n">
        <v>12</v>
      </c>
      <c r="B101" s="34" t="n">
        <v>46336</v>
      </c>
      <c r="C101" s="33" t="str">
        <f aca="false">TEXT(B101,"dddd")</f>
        <v>Tuesday</v>
      </c>
      <c r="D101" s="33" t="n">
        <f aca="false">INT((A101-1)/6)+1</f>
        <v>2</v>
      </c>
      <c r="E101" s="35" t="n">
        <v>0.427083333333333</v>
      </c>
      <c r="F101" s="35" t="n">
        <v>0.479166666666667</v>
      </c>
      <c r="G101" s="33" t="str">
        <f aca="false">TEXT(E101,"h:mm")&amp;" to "&amp;TEXT(F101,"h:mm")</f>
        <v>10:15 to 11:30</v>
      </c>
      <c r="H101" s="36" t="n">
        <f aca="false">ROUND((F101-E101)*24,2)</f>
        <v>1.25</v>
      </c>
      <c r="I101" s="46" t="s">
        <v>214</v>
      </c>
      <c r="J101" s="47" t="s">
        <v>32</v>
      </c>
      <c r="K101" s="33" t="s">
        <v>8</v>
      </c>
      <c r="L101" s="33" t="s">
        <v>26</v>
      </c>
      <c r="M101" s="39" t="s">
        <v>199</v>
      </c>
    </row>
    <row r="102" customFormat="false" ht="15" hidden="false" customHeight="false" outlineLevel="0" collapsed="false">
      <c r="A102" s="33" t="n">
        <v>12</v>
      </c>
      <c r="B102" s="34" t="n">
        <v>46336</v>
      </c>
      <c r="C102" s="33" t="str">
        <f aca="false">TEXT(B102,"dddd")</f>
        <v>Tuesday</v>
      </c>
      <c r="D102" s="33" t="n">
        <f aca="false">INT((A102-1)/6)+1</f>
        <v>2</v>
      </c>
      <c r="E102" s="35" t="n">
        <v>0.479166666666667</v>
      </c>
      <c r="F102" s="35" t="n">
        <v>0.541666666666667</v>
      </c>
      <c r="G102" s="33" t="str">
        <f aca="false">TEXT(E102,"h:mm")&amp;" to "&amp;TEXT(F102,"h:mm")</f>
        <v>11:30 to 13:00</v>
      </c>
      <c r="H102" s="36" t="n">
        <f aca="false">ROUND((F102-E102)*24,2)</f>
        <v>1.5</v>
      </c>
      <c r="I102" s="37" t="s">
        <v>136</v>
      </c>
      <c r="J102" s="38" t="s">
        <v>36</v>
      </c>
      <c r="K102" s="33"/>
      <c r="L102" s="33"/>
      <c r="M102" s="39"/>
    </row>
    <row r="103" customFormat="false" ht="15" hidden="false" customHeight="false" outlineLevel="0" collapsed="false">
      <c r="A103" s="33" t="n">
        <v>12</v>
      </c>
      <c r="B103" s="34" t="n">
        <v>46336</v>
      </c>
      <c r="C103" s="33" t="str">
        <f aca="false">TEXT(B103,"dddd")</f>
        <v>Tuesday</v>
      </c>
      <c r="D103" s="33" t="n">
        <f aca="false">INT((A103-1)/6)+1</f>
        <v>2</v>
      </c>
      <c r="E103" s="35" t="n">
        <v>0.541666666666667</v>
      </c>
      <c r="F103" s="35" t="n">
        <v>0.583333333333333</v>
      </c>
      <c r="G103" s="33" t="str">
        <f aca="false">TEXT(E103,"h:mm")&amp;" to "&amp;TEXT(F103,"h:mm")</f>
        <v>13:00 to 14:00</v>
      </c>
      <c r="H103" s="36" t="n">
        <f aca="false">ROUND((F103-E103)*24,2)</f>
        <v>1</v>
      </c>
      <c r="I103" s="44" t="s">
        <v>191</v>
      </c>
      <c r="J103" s="45" t="s">
        <v>31</v>
      </c>
      <c r="K103" s="33" t="s">
        <v>7</v>
      </c>
      <c r="L103" s="33" t="s">
        <v>21</v>
      </c>
      <c r="M103" s="39" t="s">
        <v>215</v>
      </c>
    </row>
    <row r="104" customFormat="false" ht="35.05" hidden="false" customHeight="false" outlineLevel="0" collapsed="false">
      <c r="A104" s="33" t="n">
        <v>12</v>
      </c>
      <c r="B104" s="34" t="n">
        <v>46336</v>
      </c>
      <c r="C104" s="33" t="str">
        <f aca="false">TEXT(B104,"dddd")</f>
        <v>Tuesday</v>
      </c>
      <c r="D104" s="33" t="n">
        <f aca="false">INT((A104-1)/6)+1</f>
        <v>2</v>
      </c>
      <c r="E104" s="35" t="n">
        <v>0.541666666666667</v>
      </c>
      <c r="F104" s="35" t="n">
        <v>0.6875</v>
      </c>
      <c r="G104" s="33" t="str">
        <f aca="false">TEXT(E104,"h:mm")&amp;" to "&amp;TEXT(F104,"h:mm")</f>
        <v>13:00 to 16:30</v>
      </c>
      <c r="H104" s="36" t="n">
        <f aca="false">ROUND((F104-E104)*24,2)</f>
        <v>3.5</v>
      </c>
      <c r="I104" s="40" t="s">
        <v>216</v>
      </c>
      <c r="J104" s="41" t="s">
        <v>35</v>
      </c>
      <c r="K104" s="33" t="s">
        <v>7</v>
      </c>
      <c r="L104" s="33" t="s">
        <v>19</v>
      </c>
      <c r="M104" s="39" t="s">
        <v>217</v>
      </c>
    </row>
    <row r="105" customFormat="false" ht="15" hidden="false" customHeight="false" outlineLevel="0" collapsed="false">
      <c r="A105" s="33" t="n">
        <v>12</v>
      </c>
      <c r="B105" s="34" t="n">
        <v>46336</v>
      </c>
      <c r="C105" s="33" t="str">
        <f aca="false">TEXT(B105,"dddd")</f>
        <v>Tuesday</v>
      </c>
      <c r="D105" s="33" t="n">
        <f aca="false">INT((A105-1)/6)+1</f>
        <v>2</v>
      </c>
      <c r="E105" s="35" t="n">
        <v>0.583333333333333</v>
      </c>
      <c r="F105" s="35" t="n">
        <v>0.59375</v>
      </c>
      <c r="G105" s="33" t="str">
        <f aca="false">TEXT(E105,"h:mm")&amp;" to "&amp;TEXT(F105,"h:mm")</f>
        <v>14:00 to 14:15</v>
      </c>
      <c r="H105" s="36" t="n">
        <f aca="false">ROUND((F105-E105)*24,2)</f>
        <v>0.25</v>
      </c>
      <c r="I105" s="37" t="s">
        <v>139</v>
      </c>
      <c r="J105" s="38" t="s">
        <v>36</v>
      </c>
      <c r="K105" s="33"/>
      <c r="L105" s="33"/>
      <c r="M105" s="39"/>
    </row>
    <row r="106" customFormat="false" ht="15" hidden="false" customHeight="false" outlineLevel="0" collapsed="false">
      <c r="A106" s="33" t="n">
        <v>12</v>
      </c>
      <c r="B106" s="34" t="n">
        <v>46336</v>
      </c>
      <c r="C106" s="33" t="str">
        <f aca="false">TEXT(B106,"dddd")</f>
        <v>Tuesday</v>
      </c>
      <c r="D106" s="33" t="n">
        <f aca="false">INT((A106-1)/6)+1</f>
        <v>2</v>
      </c>
      <c r="E106" s="35" t="n">
        <v>0.59375</v>
      </c>
      <c r="F106" s="35" t="n">
        <v>0.635416666666667</v>
      </c>
      <c r="G106" s="33" t="str">
        <f aca="false">TEXT(E106,"h:mm")&amp;" to "&amp;TEXT(F106,"h:mm")</f>
        <v>14:15 to 15:15</v>
      </c>
      <c r="H106" s="36" t="n">
        <f aca="false">ROUND((F106-E106)*24,2)</f>
        <v>1</v>
      </c>
      <c r="I106" s="44" t="s">
        <v>193</v>
      </c>
      <c r="J106" s="45" t="s">
        <v>31</v>
      </c>
      <c r="K106" s="33" t="s">
        <v>7</v>
      </c>
      <c r="L106" s="33" t="s">
        <v>21</v>
      </c>
      <c r="M106" s="39" t="s">
        <v>218</v>
      </c>
    </row>
    <row r="107" customFormat="false" ht="15" hidden="false" customHeight="false" outlineLevel="0" collapsed="false">
      <c r="A107" s="33" t="n">
        <v>12</v>
      </c>
      <c r="B107" s="34" t="n">
        <v>46336</v>
      </c>
      <c r="C107" s="33" t="str">
        <f aca="false">TEXT(B107,"dddd")</f>
        <v>Tuesday</v>
      </c>
      <c r="D107" s="33" t="n">
        <f aca="false">INT((A107-1)/6)+1</f>
        <v>2</v>
      </c>
      <c r="E107" s="35" t="n">
        <v>0.635416666666667</v>
      </c>
      <c r="F107" s="35" t="n">
        <v>0.645833333333333</v>
      </c>
      <c r="G107" s="33" t="str">
        <f aca="false">TEXT(E107,"h:mm")&amp;" to "&amp;TEXT(F107,"h:mm")</f>
        <v>15:15 to 15:30</v>
      </c>
      <c r="H107" s="36" t="n">
        <f aca="false">ROUND((F107-E107)*24,2)</f>
        <v>0.25</v>
      </c>
      <c r="I107" s="37" t="s">
        <v>139</v>
      </c>
      <c r="J107" s="38" t="s">
        <v>36</v>
      </c>
      <c r="K107" s="33"/>
      <c r="L107" s="33"/>
      <c r="M107" s="39"/>
    </row>
    <row r="108" customFormat="false" ht="35.05" hidden="false" customHeight="false" outlineLevel="0" collapsed="false">
      <c r="A108" s="33" t="n">
        <v>12</v>
      </c>
      <c r="B108" s="34" t="n">
        <v>46336</v>
      </c>
      <c r="C108" s="33" t="str">
        <f aca="false">TEXT(B108,"dddd")</f>
        <v>Tuesday</v>
      </c>
      <c r="D108" s="33" t="n">
        <f aca="false">INT((A108-1)/6)+1</f>
        <v>2</v>
      </c>
      <c r="E108" s="35" t="n">
        <v>0.645833333333333</v>
      </c>
      <c r="F108" s="35" t="n">
        <v>0.6875</v>
      </c>
      <c r="G108" s="33" t="str">
        <f aca="false">TEXT(E108,"h:mm")&amp;" to "&amp;TEXT(F108,"h:mm")</f>
        <v>15:30 to 16:30</v>
      </c>
      <c r="H108" s="36" t="n">
        <f aca="false">ROUND((F108-E108)*24,2)</f>
        <v>1</v>
      </c>
      <c r="I108" s="48" t="s">
        <v>164</v>
      </c>
      <c r="J108" s="49" t="s">
        <v>33</v>
      </c>
      <c r="K108" s="33" t="s">
        <v>7</v>
      </c>
      <c r="L108" s="33" t="s">
        <v>21</v>
      </c>
      <c r="M108" s="39" t="s">
        <v>219</v>
      </c>
    </row>
    <row r="109" customFormat="false" ht="15" hidden="false" customHeight="false" outlineLevel="0" collapsed="false">
      <c r="A109" s="33" t="n">
        <v>13</v>
      </c>
      <c r="B109" s="34" t="n">
        <v>46337</v>
      </c>
      <c r="C109" s="33" t="str">
        <f aca="false">TEXT(B109,"dddd")</f>
        <v>Wednesday</v>
      </c>
      <c r="D109" s="33" t="n">
        <f aca="false">INT((A109-1)/6)+1</f>
        <v>3</v>
      </c>
      <c r="E109" s="35" t="n">
        <v>0.354166666666667</v>
      </c>
      <c r="F109" s="35" t="n">
        <v>0.375</v>
      </c>
      <c r="G109" s="33" t="str">
        <f aca="false">TEXT(E109,"h:mm")&amp;" to "&amp;TEXT(F109,"h:mm")</f>
        <v>8:30 to 9:00</v>
      </c>
      <c r="H109" s="36" t="n">
        <f aca="false">ROUND((F109-E109)*24,2)</f>
        <v>0.5</v>
      </c>
      <c r="I109" s="42" t="s">
        <v>175</v>
      </c>
      <c r="J109" s="43" t="s">
        <v>34</v>
      </c>
      <c r="K109" s="33"/>
      <c r="L109" s="33"/>
      <c r="M109" s="39" t="s">
        <v>176</v>
      </c>
    </row>
    <row r="110" customFormat="false" ht="15" hidden="false" customHeight="false" outlineLevel="0" collapsed="false">
      <c r="A110" s="33" t="n">
        <v>13</v>
      </c>
      <c r="B110" s="34" t="n">
        <v>46337</v>
      </c>
      <c r="C110" s="33" t="str">
        <f aca="false">TEXT(B110,"dddd")</f>
        <v>Wednesday</v>
      </c>
      <c r="D110" s="33" t="n">
        <f aca="false">INT((A110-1)/6)+1</f>
        <v>3</v>
      </c>
      <c r="E110" s="35" t="n">
        <v>0.375</v>
      </c>
      <c r="F110" s="35" t="n">
        <v>0.4375</v>
      </c>
      <c r="G110" s="33" t="str">
        <f aca="false">TEXT(E110,"h:mm")&amp;" to "&amp;TEXT(F110,"h:mm")</f>
        <v>9:00 to 10:30</v>
      </c>
      <c r="H110" s="36" t="n">
        <f aca="false">ROUND((F110-E110)*24,2)</f>
        <v>1.5</v>
      </c>
      <c r="I110" s="44" t="s">
        <v>177</v>
      </c>
      <c r="J110" s="45" t="s">
        <v>31</v>
      </c>
      <c r="K110" s="33" t="s">
        <v>7</v>
      </c>
      <c r="L110" s="33" t="s">
        <v>16</v>
      </c>
      <c r="M110" s="39" t="s">
        <v>220</v>
      </c>
    </row>
    <row r="111" customFormat="false" ht="15" hidden="false" customHeight="false" outlineLevel="0" collapsed="false">
      <c r="A111" s="33" t="n">
        <v>13</v>
      </c>
      <c r="B111" s="34" t="n">
        <v>46337</v>
      </c>
      <c r="C111" s="33" t="str">
        <f aca="false">TEXT(B111,"dddd")</f>
        <v>Wednesday</v>
      </c>
      <c r="D111" s="33" t="n">
        <f aca="false">INT((A111-1)/6)+1</f>
        <v>3</v>
      </c>
      <c r="E111" s="35" t="n">
        <v>0.4375</v>
      </c>
      <c r="F111" s="35" t="n">
        <v>0.447916666666667</v>
      </c>
      <c r="G111" s="33" t="str">
        <f aca="false">TEXT(E111,"h:mm")&amp;" to "&amp;TEXT(F111,"h:mm")</f>
        <v>10:30 to 10:45</v>
      </c>
      <c r="H111" s="36" t="n">
        <f aca="false">ROUND((F111-E111)*24,2)</f>
        <v>0.25</v>
      </c>
      <c r="I111" s="37" t="s">
        <v>133</v>
      </c>
      <c r="J111" s="38" t="s">
        <v>36</v>
      </c>
      <c r="K111" s="33"/>
      <c r="L111" s="33"/>
      <c r="M111" s="39"/>
    </row>
    <row r="112" customFormat="false" ht="15" hidden="false" customHeight="false" outlineLevel="0" collapsed="false">
      <c r="A112" s="33" t="n">
        <v>13</v>
      </c>
      <c r="B112" s="34" t="n">
        <v>46337</v>
      </c>
      <c r="C112" s="33" t="str">
        <f aca="false">TEXT(B112,"dddd")</f>
        <v>Wednesday</v>
      </c>
      <c r="D112" s="33" t="n">
        <f aca="false">INT((A112-1)/6)+1</f>
        <v>3</v>
      </c>
      <c r="E112" s="35" t="n">
        <v>0.447916666666667</v>
      </c>
      <c r="F112" s="35" t="n">
        <v>0.5</v>
      </c>
      <c r="G112" s="33" t="str">
        <f aca="false">TEXT(E112,"h:mm")&amp;" to "&amp;TEXT(F112,"h:mm")</f>
        <v>10:45 to 12:00</v>
      </c>
      <c r="H112" s="36" t="n">
        <f aca="false">ROUND((F112-E112)*24,2)</f>
        <v>1.25</v>
      </c>
      <c r="I112" s="44" t="s">
        <v>179</v>
      </c>
      <c r="J112" s="45" t="s">
        <v>31</v>
      </c>
      <c r="K112" s="33" t="s">
        <v>7</v>
      </c>
      <c r="L112" s="33" t="s">
        <v>16</v>
      </c>
      <c r="M112" s="39" t="s">
        <v>221</v>
      </c>
    </row>
    <row r="113" customFormat="false" ht="15" hidden="false" customHeight="false" outlineLevel="0" collapsed="false">
      <c r="A113" s="33" t="n">
        <v>13</v>
      </c>
      <c r="B113" s="34" t="n">
        <v>46337</v>
      </c>
      <c r="C113" s="33" t="str">
        <f aca="false">TEXT(B113,"dddd")</f>
        <v>Wednesday</v>
      </c>
      <c r="D113" s="33" t="n">
        <f aca="false">INT((A113-1)/6)+1</f>
        <v>3</v>
      </c>
      <c r="E113" s="35" t="n">
        <v>0.5</v>
      </c>
      <c r="F113" s="35" t="n">
        <v>0.541666666666667</v>
      </c>
      <c r="G113" s="33" t="str">
        <f aca="false">TEXT(E113,"h:mm")&amp;" to "&amp;TEXT(F113,"h:mm")</f>
        <v>12:00 to 13:00</v>
      </c>
      <c r="H113" s="36" t="n">
        <f aca="false">ROUND((F113-E113)*24,2)</f>
        <v>1</v>
      </c>
      <c r="I113" s="37" t="s">
        <v>136</v>
      </c>
      <c r="J113" s="38" t="s">
        <v>36</v>
      </c>
      <c r="K113" s="33"/>
      <c r="L113" s="33"/>
      <c r="M113" s="39"/>
    </row>
    <row r="114" customFormat="false" ht="15" hidden="false" customHeight="false" outlineLevel="0" collapsed="false">
      <c r="A114" s="33" t="n">
        <v>13</v>
      </c>
      <c r="B114" s="34" t="n">
        <v>46337</v>
      </c>
      <c r="C114" s="33" t="str">
        <f aca="false">TEXT(B114,"dddd")</f>
        <v>Wednesday</v>
      </c>
      <c r="D114" s="33" t="n">
        <f aca="false">INT((A114-1)/6)+1</f>
        <v>3</v>
      </c>
      <c r="E114" s="35" t="n">
        <v>0.541666666666667</v>
      </c>
      <c r="F114" s="35" t="n">
        <v>0.604166666666667</v>
      </c>
      <c r="G114" s="33" t="str">
        <f aca="false">TEXT(E114,"h:mm")&amp;" to "&amp;TEXT(F114,"h:mm")</f>
        <v>13:00 to 14:30</v>
      </c>
      <c r="H114" s="36" t="n">
        <f aca="false">ROUND((F114-E114)*24,2)</f>
        <v>1.5</v>
      </c>
      <c r="I114" s="46" t="s">
        <v>222</v>
      </c>
      <c r="J114" s="47" t="s">
        <v>32</v>
      </c>
      <c r="K114" s="33" t="s">
        <v>8</v>
      </c>
      <c r="L114" s="33" t="s">
        <v>28</v>
      </c>
      <c r="M114" s="39" t="s">
        <v>199</v>
      </c>
    </row>
    <row r="115" customFormat="false" ht="15" hidden="false" customHeight="false" outlineLevel="0" collapsed="false">
      <c r="A115" s="33" t="n">
        <v>13</v>
      </c>
      <c r="B115" s="34" t="n">
        <v>46337</v>
      </c>
      <c r="C115" s="33" t="str">
        <f aca="false">TEXT(B115,"dddd")</f>
        <v>Wednesday</v>
      </c>
      <c r="D115" s="33" t="n">
        <f aca="false">INT((A115-1)/6)+1</f>
        <v>3</v>
      </c>
      <c r="E115" s="35" t="n">
        <v>0.604166666666667</v>
      </c>
      <c r="F115" s="35" t="n">
        <v>0.614583333333333</v>
      </c>
      <c r="G115" s="33" t="str">
        <f aca="false">TEXT(E115,"h:mm")&amp;" to "&amp;TEXT(F115,"h:mm")</f>
        <v>14:30 to 14:45</v>
      </c>
      <c r="H115" s="36" t="n">
        <f aca="false">ROUND((F115-E115)*24,2)</f>
        <v>0.25</v>
      </c>
      <c r="I115" s="37" t="s">
        <v>139</v>
      </c>
      <c r="J115" s="38" t="s">
        <v>36</v>
      </c>
      <c r="K115" s="33"/>
      <c r="L115" s="33"/>
      <c r="M115" s="39"/>
    </row>
    <row r="116" customFormat="false" ht="23.85" hidden="false" customHeight="false" outlineLevel="0" collapsed="false">
      <c r="A116" s="33" t="n">
        <v>13</v>
      </c>
      <c r="B116" s="34" t="n">
        <v>46337</v>
      </c>
      <c r="C116" s="33" t="str">
        <f aca="false">TEXT(B116,"dddd")</f>
        <v>Wednesday</v>
      </c>
      <c r="D116" s="33" t="n">
        <f aca="false">INT((A116-1)/6)+1</f>
        <v>3</v>
      </c>
      <c r="E116" s="35" t="n">
        <v>0.614583333333333</v>
      </c>
      <c r="F116" s="35" t="n">
        <v>0.645833333333333</v>
      </c>
      <c r="G116" s="33" t="str">
        <f aca="false">TEXT(E116,"h:mm")&amp;" to "&amp;TEXT(F116,"h:mm")</f>
        <v>14:45 to 15:30</v>
      </c>
      <c r="H116" s="36" t="n">
        <f aca="false">ROUND((F116-E116)*24,2)</f>
        <v>0.75</v>
      </c>
      <c r="I116" s="46" t="s">
        <v>223</v>
      </c>
      <c r="J116" s="47" t="s">
        <v>32</v>
      </c>
      <c r="K116" s="33" t="s">
        <v>8</v>
      </c>
      <c r="L116" s="33" t="s">
        <v>28</v>
      </c>
      <c r="M116" s="39"/>
    </row>
    <row r="117" customFormat="false" ht="23.85" hidden="false" customHeight="false" outlineLevel="0" collapsed="false">
      <c r="A117" s="33" t="n">
        <v>13</v>
      </c>
      <c r="B117" s="34" t="n">
        <v>46337</v>
      </c>
      <c r="C117" s="33" t="str">
        <f aca="false">TEXT(B117,"dddd")</f>
        <v>Wednesday</v>
      </c>
      <c r="D117" s="33" t="n">
        <f aca="false">INT((A117-1)/6)+1</f>
        <v>3</v>
      </c>
      <c r="E117" s="35" t="n">
        <v>0.645833333333333</v>
      </c>
      <c r="F117" s="35" t="n">
        <v>0.6875</v>
      </c>
      <c r="G117" s="33" t="str">
        <f aca="false">TEXT(E117,"h:mm")&amp;" to "&amp;TEXT(F117,"h:mm")</f>
        <v>15:30 to 16:30</v>
      </c>
      <c r="H117" s="36" t="n">
        <f aca="false">ROUND((F117-E117)*24,2)</f>
        <v>1</v>
      </c>
      <c r="I117" s="48" t="s">
        <v>149</v>
      </c>
      <c r="J117" s="49" t="s">
        <v>33</v>
      </c>
      <c r="K117" s="33" t="s">
        <v>8</v>
      </c>
      <c r="L117" s="33" t="s">
        <v>28</v>
      </c>
      <c r="M117" s="39" t="s">
        <v>224</v>
      </c>
    </row>
    <row r="118" customFormat="false" ht="15" hidden="false" customHeight="false" outlineLevel="0" collapsed="false">
      <c r="A118" s="33" t="n">
        <v>14</v>
      </c>
      <c r="B118" s="34" t="n">
        <v>46338</v>
      </c>
      <c r="C118" s="33" t="str">
        <f aca="false">TEXT(B118,"dddd")</f>
        <v>Thursday</v>
      </c>
      <c r="D118" s="33" t="n">
        <f aca="false">INT((A118-1)/6)+1</f>
        <v>3</v>
      </c>
      <c r="E118" s="35" t="n">
        <v>0.354166666666667</v>
      </c>
      <c r="F118" s="35" t="n">
        <v>0.375</v>
      </c>
      <c r="G118" s="33" t="str">
        <f aca="false">TEXT(E118,"h:mm")&amp;" to "&amp;TEXT(F118,"h:mm")</f>
        <v>8:30 to 9:00</v>
      </c>
      <c r="H118" s="36" t="n">
        <f aca="false">ROUND((F118-E118)*24,2)</f>
        <v>0.5</v>
      </c>
      <c r="I118" s="42" t="s">
        <v>175</v>
      </c>
      <c r="J118" s="43" t="s">
        <v>34</v>
      </c>
      <c r="K118" s="33"/>
      <c r="L118" s="33"/>
      <c r="M118" s="39" t="s">
        <v>176</v>
      </c>
    </row>
    <row r="119" customFormat="false" ht="15" hidden="false" customHeight="false" outlineLevel="0" collapsed="false">
      <c r="A119" s="33" t="n">
        <v>14</v>
      </c>
      <c r="B119" s="34" t="n">
        <v>46338</v>
      </c>
      <c r="C119" s="33" t="str">
        <f aca="false">TEXT(B119,"dddd")</f>
        <v>Thursday</v>
      </c>
      <c r="D119" s="33" t="n">
        <f aca="false">INT((A119-1)/6)+1</f>
        <v>3</v>
      </c>
      <c r="E119" s="35" t="n">
        <v>0.375</v>
      </c>
      <c r="F119" s="35" t="n">
        <v>0.4375</v>
      </c>
      <c r="G119" s="33" t="str">
        <f aca="false">TEXT(E119,"h:mm")&amp;" to "&amp;TEXT(F119,"h:mm")</f>
        <v>9:00 to 10:30</v>
      </c>
      <c r="H119" s="36" t="n">
        <f aca="false">ROUND((F119-E119)*24,2)</f>
        <v>1.5</v>
      </c>
      <c r="I119" s="40" t="s">
        <v>225</v>
      </c>
      <c r="J119" s="41" t="s">
        <v>35</v>
      </c>
      <c r="K119" s="33" t="s">
        <v>7</v>
      </c>
      <c r="L119" s="33" t="s">
        <v>16</v>
      </c>
      <c r="M119" s="39"/>
    </row>
    <row r="120" customFormat="false" ht="15" hidden="false" customHeight="false" outlineLevel="0" collapsed="false">
      <c r="A120" s="33" t="n">
        <v>14</v>
      </c>
      <c r="B120" s="34" t="n">
        <v>46338</v>
      </c>
      <c r="C120" s="33" t="str">
        <f aca="false">TEXT(B120,"dddd")</f>
        <v>Thursday</v>
      </c>
      <c r="D120" s="33" t="n">
        <f aca="false">INT((A120-1)/6)+1</f>
        <v>3</v>
      </c>
      <c r="E120" s="35" t="n">
        <v>0.4375</v>
      </c>
      <c r="F120" s="35" t="n">
        <v>0.447916666666667</v>
      </c>
      <c r="G120" s="33" t="str">
        <f aca="false">TEXT(E120,"h:mm")&amp;" to "&amp;TEXT(F120,"h:mm")</f>
        <v>10:30 to 10:45</v>
      </c>
      <c r="H120" s="36" t="n">
        <f aca="false">ROUND((F120-E120)*24,2)</f>
        <v>0.25</v>
      </c>
      <c r="I120" s="37" t="s">
        <v>133</v>
      </c>
      <c r="J120" s="38" t="s">
        <v>36</v>
      </c>
      <c r="K120" s="33"/>
      <c r="L120" s="33"/>
      <c r="M120" s="39"/>
    </row>
    <row r="121" customFormat="false" ht="15" hidden="false" customHeight="false" outlineLevel="0" collapsed="false">
      <c r="A121" s="33" t="n">
        <v>14</v>
      </c>
      <c r="B121" s="34" t="n">
        <v>46338</v>
      </c>
      <c r="C121" s="33" t="str">
        <f aca="false">TEXT(B121,"dddd")</f>
        <v>Thursday</v>
      </c>
      <c r="D121" s="33" t="n">
        <f aca="false">INT((A121-1)/6)+1</f>
        <v>3</v>
      </c>
      <c r="E121" s="35" t="n">
        <v>0.447916666666667</v>
      </c>
      <c r="F121" s="35" t="n">
        <v>0.5</v>
      </c>
      <c r="G121" s="33" t="str">
        <f aca="false">TEXT(E121,"h:mm")&amp;" to "&amp;TEXT(F121,"h:mm")</f>
        <v>10:45 to 12:00</v>
      </c>
      <c r="H121" s="36" t="n">
        <f aca="false">ROUND((F121-E121)*24,2)</f>
        <v>1.25</v>
      </c>
      <c r="I121" s="40" t="s">
        <v>226</v>
      </c>
      <c r="J121" s="41" t="s">
        <v>35</v>
      </c>
      <c r="K121" s="33" t="s">
        <v>7</v>
      </c>
      <c r="L121" s="33" t="s">
        <v>16</v>
      </c>
      <c r="M121" s="39"/>
    </row>
    <row r="122" customFormat="false" ht="15" hidden="false" customHeight="false" outlineLevel="0" collapsed="false">
      <c r="A122" s="33" t="n">
        <v>14</v>
      </c>
      <c r="B122" s="34" t="n">
        <v>46338</v>
      </c>
      <c r="C122" s="33" t="str">
        <f aca="false">TEXT(B122,"dddd")</f>
        <v>Thursday</v>
      </c>
      <c r="D122" s="33" t="n">
        <f aca="false">INT((A122-1)/6)+1</f>
        <v>3</v>
      </c>
      <c r="E122" s="35" t="n">
        <v>0.5</v>
      </c>
      <c r="F122" s="35" t="n">
        <v>0.541666666666667</v>
      </c>
      <c r="G122" s="33" t="str">
        <f aca="false">TEXT(E122,"h:mm")&amp;" to "&amp;TEXT(F122,"h:mm")</f>
        <v>12:00 to 13:00</v>
      </c>
      <c r="H122" s="36" t="n">
        <f aca="false">ROUND((F122-E122)*24,2)</f>
        <v>1</v>
      </c>
      <c r="I122" s="37" t="s">
        <v>136</v>
      </c>
      <c r="J122" s="38" t="s">
        <v>36</v>
      </c>
      <c r="K122" s="33"/>
      <c r="L122" s="33"/>
      <c r="M122" s="39"/>
    </row>
    <row r="123" customFormat="false" ht="15" hidden="false" customHeight="false" outlineLevel="0" collapsed="false">
      <c r="A123" s="33" t="n">
        <v>14</v>
      </c>
      <c r="B123" s="34" t="n">
        <v>46338</v>
      </c>
      <c r="C123" s="33" t="str">
        <f aca="false">TEXT(B123,"dddd")</f>
        <v>Thursday</v>
      </c>
      <c r="D123" s="33" t="n">
        <f aca="false">INT((A123-1)/6)+1</f>
        <v>3</v>
      </c>
      <c r="E123" s="35" t="n">
        <v>0.541666666666667</v>
      </c>
      <c r="F123" s="35" t="n">
        <v>0.583333333333333</v>
      </c>
      <c r="G123" s="33" t="str">
        <f aca="false">TEXT(E123,"h:mm")&amp;" to "&amp;TEXT(F123,"h:mm")</f>
        <v>13:00 to 14:00</v>
      </c>
      <c r="H123" s="36" t="n">
        <f aca="false">ROUND((F123-E123)*24,2)</f>
        <v>1</v>
      </c>
      <c r="I123" s="40" t="s">
        <v>227</v>
      </c>
      <c r="J123" s="41" t="s">
        <v>35</v>
      </c>
      <c r="K123" s="33" t="s">
        <v>7</v>
      </c>
      <c r="L123" s="33" t="s">
        <v>21</v>
      </c>
      <c r="M123" s="39"/>
    </row>
    <row r="124" customFormat="false" ht="15" hidden="false" customHeight="false" outlineLevel="0" collapsed="false">
      <c r="A124" s="33" t="n">
        <v>14</v>
      </c>
      <c r="B124" s="34" t="n">
        <v>46338</v>
      </c>
      <c r="C124" s="33" t="str">
        <f aca="false">TEXT(B124,"dddd")</f>
        <v>Thursday</v>
      </c>
      <c r="D124" s="33" t="n">
        <f aca="false">INT((A124-1)/6)+1</f>
        <v>3</v>
      </c>
      <c r="E124" s="35" t="n">
        <v>0.583333333333333</v>
      </c>
      <c r="F124" s="35" t="n">
        <v>0.59375</v>
      </c>
      <c r="G124" s="33" t="str">
        <f aca="false">TEXT(E124,"h:mm")&amp;" to "&amp;TEXT(F124,"h:mm")</f>
        <v>14:00 to 14:15</v>
      </c>
      <c r="H124" s="36" t="n">
        <f aca="false">ROUND((F124-E124)*24,2)</f>
        <v>0.25</v>
      </c>
      <c r="I124" s="37" t="s">
        <v>139</v>
      </c>
      <c r="J124" s="38" t="s">
        <v>36</v>
      </c>
      <c r="K124" s="33"/>
      <c r="L124" s="33"/>
      <c r="M124" s="39"/>
    </row>
    <row r="125" customFormat="false" ht="23.85" hidden="false" customHeight="false" outlineLevel="0" collapsed="false">
      <c r="A125" s="33" t="n">
        <v>14</v>
      </c>
      <c r="B125" s="34" t="n">
        <v>46338</v>
      </c>
      <c r="C125" s="33" t="str">
        <f aca="false">TEXT(B125,"dddd")</f>
        <v>Thursday</v>
      </c>
      <c r="D125" s="33" t="n">
        <f aca="false">INT((A125-1)/6)+1</f>
        <v>3</v>
      </c>
      <c r="E125" s="35" t="n">
        <v>0.59375</v>
      </c>
      <c r="F125" s="35" t="n">
        <v>0.6875</v>
      </c>
      <c r="G125" s="33" t="str">
        <f aca="false">TEXT(E125,"h:mm")&amp;" to "&amp;TEXT(F125,"h:mm")</f>
        <v>14:15 to 16:30</v>
      </c>
      <c r="H125" s="36" t="n">
        <f aca="false">ROUND((F125-E125)*24,2)</f>
        <v>2.25</v>
      </c>
      <c r="I125" s="40" t="s">
        <v>228</v>
      </c>
      <c r="J125" s="41" t="s">
        <v>35</v>
      </c>
      <c r="K125" s="33" t="s">
        <v>7</v>
      </c>
      <c r="L125" s="33" t="s">
        <v>21</v>
      </c>
      <c r="M125" s="39" t="s">
        <v>229</v>
      </c>
    </row>
    <row r="126" customFormat="false" ht="15" hidden="false" customHeight="false" outlineLevel="0" collapsed="false">
      <c r="A126" s="33" t="n">
        <v>15</v>
      </c>
      <c r="B126" s="34" t="n">
        <v>46339</v>
      </c>
      <c r="C126" s="33" t="str">
        <f aca="false">TEXT(B126,"dddd")</f>
        <v>Friday</v>
      </c>
      <c r="D126" s="33" t="n">
        <f aca="false">INT((A126-1)/6)+1</f>
        <v>3</v>
      </c>
      <c r="E126" s="35" t="n">
        <v>0.354166666666667</v>
      </c>
      <c r="F126" s="35" t="n">
        <v>0.416666666666667</v>
      </c>
      <c r="G126" s="33" t="str">
        <f aca="false">TEXT(E126,"h:mm")&amp;" to "&amp;TEXT(F126,"h:mm")</f>
        <v>8:30 to 10:00</v>
      </c>
      <c r="H126" s="36" t="n">
        <f aca="false">ROUND((F126-E126)*24,2)</f>
        <v>1.5</v>
      </c>
      <c r="I126" s="46" t="s">
        <v>230</v>
      </c>
      <c r="J126" s="47" t="s">
        <v>32</v>
      </c>
      <c r="K126" s="33" t="s">
        <v>8</v>
      </c>
      <c r="L126" s="33" t="s">
        <v>26</v>
      </c>
      <c r="M126" s="39" t="s">
        <v>199</v>
      </c>
    </row>
    <row r="127" customFormat="false" ht="15" hidden="false" customHeight="false" outlineLevel="0" collapsed="false">
      <c r="A127" s="33" t="n">
        <v>15</v>
      </c>
      <c r="B127" s="34" t="n">
        <v>46339</v>
      </c>
      <c r="C127" s="33" t="str">
        <f aca="false">TEXT(B127,"dddd")</f>
        <v>Friday</v>
      </c>
      <c r="D127" s="33" t="n">
        <f aca="false">INT((A127-1)/6)+1</f>
        <v>3</v>
      </c>
      <c r="E127" s="35" t="n">
        <v>0.416666666666667</v>
      </c>
      <c r="F127" s="35" t="n">
        <v>0.427083333333333</v>
      </c>
      <c r="G127" s="33" t="str">
        <f aca="false">TEXT(E127,"h:mm")&amp;" to "&amp;TEXT(F127,"h:mm")</f>
        <v>10:00 to 10:15</v>
      </c>
      <c r="H127" s="36" t="n">
        <f aca="false">ROUND((F127-E127)*24,2)</f>
        <v>0.25</v>
      </c>
      <c r="I127" s="37" t="s">
        <v>133</v>
      </c>
      <c r="J127" s="38" t="s">
        <v>36</v>
      </c>
      <c r="K127" s="33"/>
      <c r="L127" s="33"/>
      <c r="M127" s="39"/>
    </row>
    <row r="128" customFormat="false" ht="15" hidden="false" customHeight="false" outlineLevel="0" collapsed="false">
      <c r="A128" s="33" t="n">
        <v>15</v>
      </c>
      <c r="B128" s="34" t="n">
        <v>46339</v>
      </c>
      <c r="C128" s="33" t="str">
        <f aca="false">TEXT(B128,"dddd")</f>
        <v>Friday</v>
      </c>
      <c r="D128" s="33" t="n">
        <f aca="false">INT((A128-1)/6)+1</f>
        <v>3</v>
      </c>
      <c r="E128" s="35" t="n">
        <v>0.427083333333333</v>
      </c>
      <c r="F128" s="35" t="n">
        <v>0.479166666666667</v>
      </c>
      <c r="G128" s="33" t="str">
        <f aca="false">TEXT(E128,"h:mm")&amp;" to "&amp;TEXT(F128,"h:mm")</f>
        <v>10:15 to 11:30</v>
      </c>
      <c r="H128" s="36" t="n">
        <f aca="false">ROUND((F128-E128)*24,2)</f>
        <v>1.25</v>
      </c>
      <c r="I128" s="46" t="s">
        <v>231</v>
      </c>
      <c r="J128" s="47" t="s">
        <v>32</v>
      </c>
      <c r="K128" s="33" t="s">
        <v>8</v>
      </c>
      <c r="L128" s="33" t="s">
        <v>26</v>
      </c>
      <c r="M128" s="39" t="s">
        <v>199</v>
      </c>
    </row>
    <row r="129" customFormat="false" ht="15" hidden="false" customHeight="false" outlineLevel="0" collapsed="false">
      <c r="A129" s="33" t="n">
        <v>15</v>
      </c>
      <c r="B129" s="34" t="n">
        <v>46339</v>
      </c>
      <c r="C129" s="33" t="str">
        <f aca="false">TEXT(B129,"dddd")</f>
        <v>Friday</v>
      </c>
      <c r="D129" s="33" t="n">
        <f aca="false">INT((A129-1)/6)+1</f>
        <v>3</v>
      </c>
      <c r="E129" s="35" t="n">
        <v>0.479166666666667</v>
      </c>
      <c r="F129" s="35" t="n">
        <v>0.541666666666667</v>
      </c>
      <c r="G129" s="33" t="str">
        <f aca="false">TEXT(E129,"h:mm")&amp;" to "&amp;TEXT(F129,"h:mm")</f>
        <v>11:30 to 13:00</v>
      </c>
      <c r="H129" s="36" t="n">
        <f aca="false">ROUND((F129-E129)*24,2)</f>
        <v>1.5</v>
      </c>
      <c r="I129" s="37" t="s">
        <v>136</v>
      </c>
      <c r="J129" s="38" t="s">
        <v>36</v>
      </c>
      <c r="K129" s="33"/>
      <c r="L129" s="33"/>
      <c r="M129" s="39"/>
    </row>
    <row r="130" customFormat="false" ht="15" hidden="false" customHeight="false" outlineLevel="0" collapsed="false">
      <c r="A130" s="33" t="n">
        <v>15</v>
      </c>
      <c r="B130" s="34" t="n">
        <v>46339</v>
      </c>
      <c r="C130" s="33" t="str">
        <f aca="false">TEXT(B130,"dddd")</f>
        <v>Friday</v>
      </c>
      <c r="D130" s="33" t="n">
        <f aca="false">INT((A130-1)/6)+1</f>
        <v>3</v>
      </c>
      <c r="E130" s="35" t="n">
        <v>0.541666666666667</v>
      </c>
      <c r="F130" s="35" t="n">
        <v>0.604166666666667</v>
      </c>
      <c r="G130" s="33" t="str">
        <f aca="false">TEXT(E130,"h:mm")&amp;" to "&amp;TEXT(F130,"h:mm")</f>
        <v>13:00 to 14:30</v>
      </c>
      <c r="H130" s="36" t="n">
        <f aca="false">ROUND((F130-E130)*24,2)</f>
        <v>1.5</v>
      </c>
      <c r="I130" s="40" t="s">
        <v>232</v>
      </c>
      <c r="J130" s="41" t="s">
        <v>35</v>
      </c>
      <c r="K130" s="33" t="s">
        <v>8</v>
      </c>
      <c r="L130" s="33" t="s">
        <v>28</v>
      </c>
      <c r="M130" s="39" t="s">
        <v>199</v>
      </c>
    </row>
    <row r="131" customFormat="false" ht="15" hidden="false" customHeight="false" outlineLevel="0" collapsed="false">
      <c r="A131" s="33" t="n">
        <v>15</v>
      </c>
      <c r="B131" s="34" t="n">
        <v>46339</v>
      </c>
      <c r="C131" s="33" t="str">
        <f aca="false">TEXT(B131,"dddd")</f>
        <v>Friday</v>
      </c>
      <c r="D131" s="33" t="n">
        <f aca="false">INT((A131-1)/6)+1</f>
        <v>3</v>
      </c>
      <c r="E131" s="35" t="n">
        <v>0.604166666666667</v>
      </c>
      <c r="F131" s="35" t="n">
        <v>0.614583333333333</v>
      </c>
      <c r="G131" s="33" t="str">
        <f aca="false">TEXT(E131,"h:mm")&amp;" to "&amp;TEXT(F131,"h:mm")</f>
        <v>14:30 to 14:45</v>
      </c>
      <c r="H131" s="36" t="n">
        <f aca="false">ROUND((F131-E131)*24,2)</f>
        <v>0.25</v>
      </c>
      <c r="I131" s="37" t="s">
        <v>139</v>
      </c>
      <c r="J131" s="38" t="s">
        <v>36</v>
      </c>
      <c r="K131" s="33"/>
      <c r="L131" s="33"/>
      <c r="M131" s="39"/>
    </row>
    <row r="132" customFormat="false" ht="15" hidden="false" customHeight="false" outlineLevel="0" collapsed="false">
      <c r="A132" s="33" t="n">
        <v>15</v>
      </c>
      <c r="B132" s="34" t="n">
        <v>46339</v>
      </c>
      <c r="C132" s="33" t="str">
        <f aca="false">TEXT(B132,"dddd")</f>
        <v>Friday</v>
      </c>
      <c r="D132" s="33" t="n">
        <f aca="false">INT((A132-1)/6)+1</f>
        <v>3</v>
      </c>
      <c r="E132" s="35" t="n">
        <v>0.614583333333333</v>
      </c>
      <c r="F132" s="35" t="n">
        <v>0.645833333333333</v>
      </c>
      <c r="G132" s="33" t="str">
        <f aca="false">TEXT(E132,"h:mm")&amp;" to "&amp;TEXT(F132,"h:mm")</f>
        <v>14:45 to 15:30</v>
      </c>
      <c r="H132" s="36" t="n">
        <f aca="false">ROUND((F132-E132)*24,2)</f>
        <v>0.75</v>
      </c>
      <c r="I132" s="40" t="s">
        <v>233</v>
      </c>
      <c r="J132" s="41" t="s">
        <v>35</v>
      </c>
      <c r="K132" s="33" t="s">
        <v>8</v>
      </c>
      <c r="L132" s="33" t="s">
        <v>28</v>
      </c>
      <c r="M132" s="39"/>
    </row>
    <row r="133" customFormat="false" ht="23.85" hidden="false" customHeight="false" outlineLevel="0" collapsed="false">
      <c r="A133" s="33" t="n">
        <v>15</v>
      </c>
      <c r="B133" s="34" t="n">
        <v>46339</v>
      </c>
      <c r="C133" s="33" t="str">
        <f aca="false">TEXT(B133,"dddd")</f>
        <v>Friday</v>
      </c>
      <c r="D133" s="33" t="n">
        <f aca="false">INT((A133-1)/6)+1</f>
        <v>3</v>
      </c>
      <c r="E133" s="35" t="n">
        <v>0.645833333333333</v>
      </c>
      <c r="F133" s="35" t="n">
        <v>0.6875</v>
      </c>
      <c r="G133" s="33" t="str">
        <f aca="false">TEXT(E133,"h:mm")&amp;" to "&amp;TEXT(F133,"h:mm")</f>
        <v>15:30 to 16:30</v>
      </c>
      <c r="H133" s="36" t="n">
        <f aca="false">ROUND((F133-E133)*24,2)</f>
        <v>1</v>
      </c>
      <c r="I133" s="48" t="s">
        <v>149</v>
      </c>
      <c r="J133" s="49" t="s">
        <v>33</v>
      </c>
      <c r="K133" s="33" t="s">
        <v>8</v>
      </c>
      <c r="L133" s="33" t="s">
        <v>28</v>
      </c>
      <c r="M133" s="39" t="s">
        <v>234</v>
      </c>
    </row>
    <row r="134" customFormat="false" ht="15" hidden="false" customHeight="false" outlineLevel="0" collapsed="false">
      <c r="A134" s="33" t="n">
        <v>16</v>
      </c>
      <c r="B134" s="34" t="n">
        <v>46340</v>
      </c>
      <c r="C134" s="33" t="str">
        <f aca="false">TEXT(B134,"dddd")</f>
        <v>Saturday</v>
      </c>
      <c r="D134" s="33" t="n">
        <f aca="false">INT((A134-1)/6)+1</f>
        <v>3</v>
      </c>
      <c r="E134" s="35" t="n">
        <v>0.354166666666667</v>
      </c>
      <c r="F134" s="35" t="n">
        <v>0.375</v>
      </c>
      <c r="G134" s="33" t="str">
        <f aca="false">TEXT(E134,"h:mm")&amp;" to "&amp;TEXT(F134,"h:mm")</f>
        <v>8:30 to 9:00</v>
      </c>
      <c r="H134" s="36" t="n">
        <f aca="false">ROUND((F134-E134)*24,2)</f>
        <v>0.5</v>
      </c>
      <c r="I134" s="42" t="s">
        <v>175</v>
      </c>
      <c r="J134" s="43" t="s">
        <v>34</v>
      </c>
      <c r="K134" s="33"/>
      <c r="L134" s="33"/>
      <c r="M134" s="39" t="s">
        <v>176</v>
      </c>
    </row>
    <row r="135" customFormat="false" ht="23.85" hidden="false" customHeight="false" outlineLevel="0" collapsed="false">
      <c r="A135" s="33" t="n">
        <v>16</v>
      </c>
      <c r="B135" s="34" t="n">
        <v>46340</v>
      </c>
      <c r="C135" s="33" t="str">
        <f aca="false">TEXT(B135,"dddd")</f>
        <v>Saturday</v>
      </c>
      <c r="D135" s="33" t="n">
        <f aca="false">INT((A135-1)/6)+1</f>
        <v>3</v>
      </c>
      <c r="E135" s="35" t="n">
        <v>0.375</v>
      </c>
      <c r="F135" s="35" t="n">
        <v>0.4375</v>
      </c>
      <c r="G135" s="33" t="str">
        <f aca="false">TEXT(E135,"h:mm")&amp;" to "&amp;TEXT(F135,"h:mm")</f>
        <v>9:00 to 10:30</v>
      </c>
      <c r="H135" s="36" t="n">
        <f aca="false">ROUND((F135-E135)*24,2)</f>
        <v>1.5</v>
      </c>
      <c r="I135" s="44" t="s">
        <v>177</v>
      </c>
      <c r="J135" s="45" t="s">
        <v>31</v>
      </c>
      <c r="K135" s="33" t="s">
        <v>7</v>
      </c>
      <c r="L135" s="33" t="s">
        <v>16</v>
      </c>
      <c r="M135" s="39" t="s">
        <v>235</v>
      </c>
    </row>
    <row r="136" customFormat="false" ht="15" hidden="false" customHeight="false" outlineLevel="0" collapsed="false">
      <c r="A136" s="33" t="n">
        <v>16</v>
      </c>
      <c r="B136" s="34" t="n">
        <v>46340</v>
      </c>
      <c r="C136" s="33" t="str">
        <f aca="false">TEXT(B136,"dddd")</f>
        <v>Saturday</v>
      </c>
      <c r="D136" s="33" t="n">
        <f aca="false">INT((A136-1)/6)+1</f>
        <v>3</v>
      </c>
      <c r="E136" s="35" t="n">
        <v>0.4375</v>
      </c>
      <c r="F136" s="35" t="n">
        <v>0.447916666666667</v>
      </c>
      <c r="G136" s="33" t="str">
        <f aca="false">TEXT(E136,"h:mm")&amp;" to "&amp;TEXT(F136,"h:mm")</f>
        <v>10:30 to 10:45</v>
      </c>
      <c r="H136" s="36" t="n">
        <f aca="false">ROUND((F136-E136)*24,2)</f>
        <v>0.25</v>
      </c>
      <c r="I136" s="37" t="s">
        <v>133</v>
      </c>
      <c r="J136" s="38" t="s">
        <v>36</v>
      </c>
      <c r="K136" s="33"/>
      <c r="L136" s="33"/>
      <c r="M136" s="39"/>
    </row>
    <row r="137" customFormat="false" ht="15" hidden="false" customHeight="false" outlineLevel="0" collapsed="false">
      <c r="A137" s="33" t="n">
        <v>16</v>
      </c>
      <c r="B137" s="34" t="n">
        <v>46340</v>
      </c>
      <c r="C137" s="33" t="str">
        <f aca="false">TEXT(B137,"dddd")</f>
        <v>Saturday</v>
      </c>
      <c r="D137" s="33" t="n">
        <f aca="false">INT((A137-1)/6)+1</f>
        <v>3</v>
      </c>
      <c r="E137" s="35" t="n">
        <v>0.447916666666667</v>
      </c>
      <c r="F137" s="35" t="n">
        <v>0.5</v>
      </c>
      <c r="G137" s="33" t="str">
        <f aca="false">TEXT(E137,"h:mm")&amp;" to "&amp;TEXT(F137,"h:mm")</f>
        <v>10:45 to 12:00</v>
      </c>
      <c r="H137" s="36" t="n">
        <f aca="false">ROUND((F137-E137)*24,2)</f>
        <v>1.25</v>
      </c>
      <c r="I137" s="44" t="s">
        <v>179</v>
      </c>
      <c r="J137" s="45" t="s">
        <v>31</v>
      </c>
      <c r="K137" s="33" t="s">
        <v>7</v>
      </c>
      <c r="L137" s="33" t="s">
        <v>16</v>
      </c>
      <c r="M137" s="39" t="s">
        <v>236</v>
      </c>
    </row>
    <row r="138" customFormat="false" ht="15" hidden="false" customHeight="false" outlineLevel="0" collapsed="false">
      <c r="A138" s="33" t="n">
        <v>16</v>
      </c>
      <c r="B138" s="34" t="n">
        <v>46340</v>
      </c>
      <c r="C138" s="33" t="str">
        <f aca="false">TEXT(B138,"dddd")</f>
        <v>Saturday</v>
      </c>
      <c r="D138" s="33" t="n">
        <f aca="false">INT((A138-1)/6)+1</f>
        <v>3</v>
      </c>
      <c r="E138" s="35" t="n">
        <v>0.5</v>
      </c>
      <c r="F138" s="35" t="n">
        <v>0.541666666666667</v>
      </c>
      <c r="G138" s="33" t="str">
        <f aca="false">TEXT(E138,"h:mm")&amp;" to "&amp;TEXT(F138,"h:mm")</f>
        <v>12:00 to 13:00</v>
      </c>
      <c r="H138" s="36" t="n">
        <f aca="false">ROUND((F138-E138)*24,2)</f>
        <v>1</v>
      </c>
      <c r="I138" s="37" t="s">
        <v>136</v>
      </c>
      <c r="J138" s="38" t="s">
        <v>36</v>
      </c>
      <c r="K138" s="33"/>
      <c r="L138" s="33"/>
      <c r="M138" s="39"/>
    </row>
    <row r="139" customFormat="false" ht="15" hidden="false" customHeight="false" outlineLevel="0" collapsed="false">
      <c r="A139" s="33" t="n">
        <v>16</v>
      </c>
      <c r="B139" s="34" t="n">
        <v>46340</v>
      </c>
      <c r="C139" s="33" t="str">
        <f aca="false">TEXT(B139,"dddd")</f>
        <v>Saturday</v>
      </c>
      <c r="D139" s="33" t="n">
        <f aca="false">INT((A139-1)/6)+1</f>
        <v>3</v>
      </c>
      <c r="E139" s="35" t="n">
        <v>0.541666666666667</v>
      </c>
      <c r="F139" s="35" t="n">
        <v>0.604166666666667</v>
      </c>
      <c r="G139" s="33" t="str">
        <f aca="false">TEXT(E139,"h:mm")&amp;" to "&amp;TEXT(F139,"h:mm")</f>
        <v>13:00 to 14:30</v>
      </c>
      <c r="H139" s="36" t="n">
        <f aca="false">ROUND((F139-E139)*24,2)</f>
        <v>1.5</v>
      </c>
      <c r="I139" s="46" t="s">
        <v>237</v>
      </c>
      <c r="J139" s="47" t="s">
        <v>32</v>
      </c>
      <c r="K139" s="33" t="s">
        <v>8</v>
      </c>
      <c r="L139" s="33" t="s">
        <v>28</v>
      </c>
      <c r="M139" s="39" t="s">
        <v>238</v>
      </c>
    </row>
    <row r="140" customFormat="false" ht="15" hidden="false" customHeight="false" outlineLevel="0" collapsed="false">
      <c r="A140" s="33" t="n">
        <v>16</v>
      </c>
      <c r="B140" s="34" t="n">
        <v>46340</v>
      </c>
      <c r="C140" s="33" t="str">
        <f aca="false">TEXT(B140,"dddd")</f>
        <v>Saturday</v>
      </c>
      <c r="D140" s="33" t="n">
        <f aca="false">INT((A140-1)/6)+1</f>
        <v>3</v>
      </c>
      <c r="E140" s="35" t="n">
        <v>0.604166666666667</v>
      </c>
      <c r="F140" s="35" t="n">
        <v>0.614583333333333</v>
      </c>
      <c r="G140" s="33" t="str">
        <f aca="false">TEXT(E140,"h:mm")&amp;" to "&amp;TEXT(F140,"h:mm")</f>
        <v>14:30 to 14:45</v>
      </c>
      <c r="H140" s="36" t="n">
        <f aca="false">ROUND((F140-E140)*24,2)</f>
        <v>0.25</v>
      </c>
      <c r="I140" s="37" t="s">
        <v>139</v>
      </c>
      <c r="J140" s="38" t="s">
        <v>36</v>
      </c>
      <c r="K140" s="33"/>
      <c r="L140" s="33"/>
      <c r="M140" s="39"/>
    </row>
    <row r="141" customFormat="false" ht="23.85" hidden="false" customHeight="false" outlineLevel="0" collapsed="false">
      <c r="A141" s="33" t="n">
        <v>16</v>
      </c>
      <c r="B141" s="34" t="n">
        <v>46340</v>
      </c>
      <c r="C141" s="33" t="str">
        <f aca="false">TEXT(B141,"dddd")</f>
        <v>Saturday</v>
      </c>
      <c r="D141" s="33" t="n">
        <f aca="false">INT((A141-1)/6)+1</f>
        <v>3</v>
      </c>
      <c r="E141" s="35" t="n">
        <v>0.614583333333333</v>
      </c>
      <c r="F141" s="35" t="n">
        <v>0.645833333333333</v>
      </c>
      <c r="G141" s="33" t="str">
        <f aca="false">TEXT(E141,"h:mm")&amp;" to "&amp;TEXT(F141,"h:mm")</f>
        <v>14:45 to 15:30</v>
      </c>
      <c r="H141" s="36" t="n">
        <f aca="false">ROUND((F141-E141)*24,2)</f>
        <v>0.75</v>
      </c>
      <c r="I141" s="46" t="s">
        <v>239</v>
      </c>
      <c r="J141" s="47" t="s">
        <v>32</v>
      </c>
      <c r="K141" s="33" t="s">
        <v>8</v>
      </c>
      <c r="L141" s="33" t="s">
        <v>28</v>
      </c>
      <c r="M141" s="39"/>
    </row>
    <row r="142" customFormat="false" ht="23.85" hidden="false" customHeight="false" outlineLevel="0" collapsed="false">
      <c r="A142" s="33" t="n">
        <v>16</v>
      </c>
      <c r="B142" s="34" t="n">
        <v>46340</v>
      </c>
      <c r="C142" s="33" t="str">
        <f aca="false">TEXT(B142,"dddd")</f>
        <v>Saturday</v>
      </c>
      <c r="D142" s="33" t="n">
        <f aca="false">INT((A142-1)/6)+1</f>
        <v>3</v>
      </c>
      <c r="E142" s="35" t="n">
        <v>0.645833333333333</v>
      </c>
      <c r="F142" s="35" t="n">
        <v>0.6875</v>
      </c>
      <c r="G142" s="33" t="str">
        <f aca="false">TEXT(E142,"h:mm")&amp;" to "&amp;TEXT(F142,"h:mm")</f>
        <v>15:30 to 16:30</v>
      </c>
      <c r="H142" s="36" t="n">
        <f aca="false">ROUND((F142-E142)*24,2)</f>
        <v>1</v>
      </c>
      <c r="I142" s="48" t="s">
        <v>149</v>
      </c>
      <c r="J142" s="49" t="s">
        <v>33</v>
      </c>
      <c r="K142" s="33" t="s">
        <v>8</v>
      </c>
      <c r="L142" s="33" t="s">
        <v>28</v>
      </c>
      <c r="M142" s="39" t="s">
        <v>240</v>
      </c>
    </row>
    <row r="143" customFormat="false" ht="15" hidden="false" customHeight="false" outlineLevel="0" collapsed="false">
      <c r="A143" s="33" t="n">
        <v>17</v>
      </c>
      <c r="B143" s="34" t="n">
        <v>46341</v>
      </c>
      <c r="C143" s="33" t="str">
        <f aca="false">TEXT(B143,"dddd")</f>
        <v>Sunday</v>
      </c>
      <c r="D143" s="33" t="n">
        <f aca="false">INT((A143-1)/6)+1</f>
        <v>3</v>
      </c>
      <c r="E143" s="35" t="n">
        <v>0.354166666666667</v>
      </c>
      <c r="F143" s="35" t="n">
        <v>0.416666666666667</v>
      </c>
      <c r="G143" s="33" t="str">
        <f aca="false">TEXT(E143,"h:mm")&amp;" to "&amp;TEXT(F143,"h:mm")</f>
        <v>8:30 to 10:00</v>
      </c>
      <c r="H143" s="36" t="n">
        <f aca="false">ROUND((F143-E143)*24,2)</f>
        <v>1.5</v>
      </c>
      <c r="I143" s="46" t="s">
        <v>241</v>
      </c>
      <c r="J143" s="47" t="s">
        <v>32</v>
      </c>
      <c r="K143" s="33" t="s">
        <v>8</v>
      </c>
      <c r="L143" s="33" t="s">
        <v>26</v>
      </c>
      <c r="M143" s="39" t="s">
        <v>238</v>
      </c>
    </row>
    <row r="144" customFormat="false" ht="15" hidden="false" customHeight="false" outlineLevel="0" collapsed="false">
      <c r="A144" s="33" t="n">
        <v>17</v>
      </c>
      <c r="B144" s="34" t="n">
        <v>46341</v>
      </c>
      <c r="C144" s="33" t="str">
        <f aca="false">TEXT(B144,"dddd")</f>
        <v>Sunday</v>
      </c>
      <c r="D144" s="33" t="n">
        <f aca="false">INT((A144-1)/6)+1</f>
        <v>3</v>
      </c>
      <c r="E144" s="35" t="n">
        <v>0.416666666666667</v>
      </c>
      <c r="F144" s="35" t="n">
        <v>0.427083333333333</v>
      </c>
      <c r="G144" s="33" t="str">
        <f aca="false">TEXT(E144,"h:mm")&amp;" to "&amp;TEXT(F144,"h:mm")</f>
        <v>10:00 to 10:15</v>
      </c>
      <c r="H144" s="36" t="n">
        <f aca="false">ROUND((F144-E144)*24,2)</f>
        <v>0.25</v>
      </c>
      <c r="I144" s="37" t="s">
        <v>133</v>
      </c>
      <c r="J144" s="38" t="s">
        <v>36</v>
      </c>
      <c r="K144" s="33"/>
      <c r="L144" s="33"/>
      <c r="M144" s="39"/>
    </row>
    <row r="145" customFormat="false" ht="15" hidden="false" customHeight="false" outlineLevel="0" collapsed="false">
      <c r="A145" s="33" t="n">
        <v>17</v>
      </c>
      <c r="B145" s="34" t="n">
        <v>46341</v>
      </c>
      <c r="C145" s="33" t="str">
        <f aca="false">TEXT(B145,"dddd")</f>
        <v>Sunday</v>
      </c>
      <c r="D145" s="33" t="n">
        <f aca="false">INT((A145-1)/6)+1</f>
        <v>3</v>
      </c>
      <c r="E145" s="35" t="n">
        <v>0.427083333333333</v>
      </c>
      <c r="F145" s="35" t="n">
        <v>0.479166666666667</v>
      </c>
      <c r="G145" s="33" t="str">
        <f aca="false">TEXT(E145,"h:mm")&amp;" to "&amp;TEXT(F145,"h:mm")</f>
        <v>10:15 to 11:30</v>
      </c>
      <c r="H145" s="36" t="n">
        <f aca="false">ROUND((F145-E145)*24,2)</f>
        <v>1.25</v>
      </c>
      <c r="I145" s="46" t="s">
        <v>242</v>
      </c>
      <c r="J145" s="47" t="s">
        <v>32</v>
      </c>
      <c r="K145" s="33" t="s">
        <v>8</v>
      </c>
      <c r="L145" s="33" t="s">
        <v>26</v>
      </c>
      <c r="M145" s="39" t="s">
        <v>238</v>
      </c>
    </row>
    <row r="146" customFormat="false" ht="15" hidden="false" customHeight="false" outlineLevel="0" collapsed="false">
      <c r="A146" s="33" t="n">
        <v>17</v>
      </c>
      <c r="B146" s="34" t="n">
        <v>46341</v>
      </c>
      <c r="C146" s="33" t="str">
        <f aca="false">TEXT(B146,"dddd")</f>
        <v>Sunday</v>
      </c>
      <c r="D146" s="33" t="n">
        <f aca="false">INT((A146-1)/6)+1</f>
        <v>3</v>
      </c>
      <c r="E146" s="35" t="n">
        <v>0.479166666666667</v>
      </c>
      <c r="F146" s="35" t="n">
        <v>0.541666666666667</v>
      </c>
      <c r="G146" s="33" t="str">
        <f aca="false">TEXT(E146,"h:mm")&amp;" to "&amp;TEXT(F146,"h:mm")</f>
        <v>11:30 to 13:00</v>
      </c>
      <c r="H146" s="36" t="n">
        <f aca="false">ROUND((F146-E146)*24,2)</f>
        <v>1.5</v>
      </c>
      <c r="I146" s="37" t="s">
        <v>136</v>
      </c>
      <c r="J146" s="38" t="s">
        <v>36</v>
      </c>
      <c r="K146" s="33"/>
      <c r="L146" s="33"/>
      <c r="M146" s="39"/>
    </row>
    <row r="147" customFormat="false" ht="15" hidden="false" customHeight="false" outlineLevel="0" collapsed="false">
      <c r="A147" s="33" t="n">
        <v>17</v>
      </c>
      <c r="B147" s="34" t="n">
        <v>46341</v>
      </c>
      <c r="C147" s="33" t="str">
        <f aca="false">TEXT(B147,"dddd")</f>
        <v>Sunday</v>
      </c>
      <c r="D147" s="33" t="n">
        <f aca="false">INT((A147-1)/6)+1</f>
        <v>3</v>
      </c>
      <c r="E147" s="35" t="n">
        <v>0.541666666666667</v>
      </c>
      <c r="F147" s="35" t="n">
        <v>0.583333333333333</v>
      </c>
      <c r="G147" s="33" t="str">
        <f aca="false">TEXT(E147,"h:mm")&amp;" to "&amp;TEXT(F147,"h:mm")</f>
        <v>13:00 to 14:00</v>
      </c>
      <c r="H147" s="36" t="n">
        <f aca="false">ROUND((F147-E147)*24,2)</f>
        <v>1</v>
      </c>
      <c r="I147" s="44" t="s">
        <v>191</v>
      </c>
      <c r="J147" s="45" t="s">
        <v>31</v>
      </c>
      <c r="K147" s="33" t="s">
        <v>7</v>
      </c>
      <c r="L147" s="33" t="s">
        <v>21</v>
      </c>
      <c r="M147" s="39" t="s">
        <v>243</v>
      </c>
    </row>
    <row r="148" customFormat="false" ht="15" hidden="false" customHeight="false" outlineLevel="0" collapsed="false">
      <c r="A148" s="33" t="n">
        <v>17</v>
      </c>
      <c r="B148" s="34" t="n">
        <v>46341</v>
      </c>
      <c r="C148" s="33" t="str">
        <f aca="false">TEXT(B148,"dddd")</f>
        <v>Sunday</v>
      </c>
      <c r="D148" s="33" t="n">
        <f aca="false">INT((A148-1)/6)+1</f>
        <v>3</v>
      </c>
      <c r="E148" s="35" t="n">
        <v>0.583333333333333</v>
      </c>
      <c r="F148" s="35" t="n">
        <v>0.59375</v>
      </c>
      <c r="G148" s="33" t="str">
        <f aca="false">TEXT(E148,"h:mm")&amp;" to "&amp;TEXT(F148,"h:mm")</f>
        <v>14:00 to 14:15</v>
      </c>
      <c r="H148" s="36" t="n">
        <f aca="false">ROUND((F148-E148)*24,2)</f>
        <v>0.25</v>
      </c>
      <c r="I148" s="37" t="s">
        <v>139</v>
      </c>
      <c r="J148" s="38" t="s">
        <v>36</v>
      </c>
      <c r="K148" s="33"/>
      <c r="L148" s="33"/>
      <c r="M148" s="39"/>
    </row>
    <row r="149" customFormat="false" ht="15" hidden="false" customHeight="false" outlineLevel="0" collapsed="false">
      <c r="A149" s="33" t="n">
        <v>17</v>
      </c>
      <c r="B149" s="34" t="n">
        <v>46341</v>
      </c>
      <c r="C149" s="33" t="str">
        <f aca="false">TEXT(B149,"dddd")</f>
        <v>Sunday</v>
      </c>
      <c r="D149" s="33" t="n">
        <f aca="false">INT((A149-1)/6)+1</f>
        <v>3</v>
      </c>
      <c r="E149" s="35" t="n">
        <v>0.59375</v>
      </c>
      <c r="F149" s="35" t="n">
        <v>0.635416666666667</v>
      </c>
      <c r="G149" s="33" t="str">
        <f aca="false">TEXT(E149,"h:mm")&amp;" to "&amp;TEXT(F149,"h:mm")</f>
        <v>14:15 to 15:15</v>
      </c>
      <c r="H149" s="36" t="n">
        <f aca="false">ROUND((F149-E149)*24,2)</f>
        <v>1</v>
      </c>
      <c r="I149" s="44" t="s">
        <v>193</v>
      </c>
      <c r="J149" s="45" t="s">
        <v>31</v>
      </c>
      <c r="K149" s="33" t="s">
        <v>7</v>
      </c>
      <c r="L149" s="33" t="s">
        <v>21</v>
      </c>
      <c r="M149" s="39" t="s">
        <v>244</v>
      </c>
    </row>
    <row r="150" customFormat="false" ht="15" hidden="false" customHeight="false" outlineLevel="0" collapsed="false">
      <c r="A150" s="33" t="n">
        <v>17</v>
      </c>
      <c r="B150" s="34" t="n">
        <v>46341</v>
      </c>
      <c r="C150" s="33" t="str">
        <f aca="false">TEXT(B150,"dddd")</f>
        <v>Sunday</v>
      </c>
      <c r="D150" s="33" t="n">
        <f aca="false">INT((A150-1)/6)+1</f>
        <v>3</v>
      </c>
      <c r="E150" s="35" t="n">
        <v>0.635416666666667</v>
      </c>
      <c r="F150" s="35" t="n">
        <v>0.645833333333333</v>
      </c>
      <c r="G150" s="33" t="str">
        <f aca="false">TEXT(E150,"h:mm")&amp;" to "&amp;TEXT(F150,"h:mm")</f>
        <v>15:15 to 15:30</v>
      </c>
      <c r="H150" s="36" t="n">
        <f aca="false">ROUND((F150-E150)*24,2)</f>
        <v>0.25</v>
      </c>
      <c r="I150" s="37" t="s">
        <v>139</v>
      </c>
      <c r="J150" s="38" t="s">
        <v>36</v>
      </c>
      <c r="K150" s="33"/>
      <c r="L150" s="33"/>
      <c r="M150" s="39"/>
    </row>
    <row r="151" customFormat="false" ht="35.05" hidden="false" customHeight="false" outlineLevel="0" collapsed="false">
      <c r="A151" s="33" t="n">
        <v>17</v>
      </c>
      <c r="B151" s="34" t="n">
        <v>46341</v>
      </c>
      <c r="C151" s="33" t="str">
        <f aca="false">TEXT(B151,"dddd")</f>
        <v>Sunday</v>
      </c>
      <c r="D151" s="33" t="n">
        <f aca="false">INT((A151-1)/6)+1</f>
        <v>3</v>
      </c>
      <c r="E151" s="35" t="n">
        <v>0.645833333333333</v>
      </c>
      <c r="F151" s="35" t="n">
        <v>0.6875</v>
      </c>
      <c r="G151" s="33" t="str">
        <f aca="false">TEXT(E151,"h:mm")&amp;" to "&amp;TEXT(F151,"h:mm")</f>
        <v>15:30 to 16:30</v>
      </c>
      <c r="H151" s="36" t="n">
        <f aca="false">ROUND((F151-E151)*24,2)</f>
        <v>1</v>
      </c>
      <c r="I151" s="48" t="s">
        <v>164</v>
      </c>
      <c r="J151" s="49" t="s">
        <v>33</v>
      </c>
      <c r="K151" s="33" t="s">
        <v>7</v>
      </c>
      <c r="L151" s="33" t="s">
        <v>21</v>
      </c>
      <c r="M151" s="39" t="s">
        <v>245</v>
      </c>
    </row>
    <row r="152" customFormat="false" ht="15" hidden="false" customHeight="false" outlineLevel="0" collapsed="false">
      <c r="A152" s="33" t="n">
        <v>17</v>
      </c>
      <c r="B152" s="34" t="n">
        <v>46341</v>
      </c>
      <c r="C152" s="33" t="str">
        <f aca="false">TEXT(B152,"dddd")</f>
        <v>Sunday</v>
      </c>
      <c r="D152" s="33" t="n">
        <f aca="false">INT((A152-1)/6)+1</f>
        <v>3</v>
      </c>
      <c r="E152" s="35" t="n">
        <v>0.770833333333333</v>
      </c>
      <c r="F152" s="35" t="n">
        <v>0.8125</v>
      </c>
      <c r="G152" s="33" t="str">
        <f aca="false">TEXT(E152,"h:mm")&amp;" to "&amp;TEXT(F152,"h:mm")</f>
        <v>18:30 to 19:30</v>
      </c>
      <c r="H152" s="36" t="n">
        <f aca="false">ROUND((F152-E152)*24,2)</f>
        <v>1</v>
      </c>
      <c r="I152" s="42" t="s">
        <v>246</v>
      </c>
      <c r="J152" s="43" t="s">
        <v>34</v>
      </c>
      <c r="K152" s="33" t="s">
        <v>7</v>
      </c>
      <c r="L152" s="33"/>
      <c r="M152" s="39" t="s">
        <v>143</v>
      </c>
    </row>
    <row r="153" customFormat="false" ht="15" hidden="false" customHeight="false" outlineLevel="0" collapsed="false">
      <c r="A153" s="33" t="n">
        <v>18</v>
      </c>
      <c r="B153" s="34" t="n">
        <v>46342</v>
      </c>
      <c r="C153" s="33" t="str">
        <f aca="false">TEXT(B153,"dddd")</f>
        <v>Monday</v>
      </c>
      <c r="D153" s="33" t="n">
        <f aca="false">INT((A153-1)/6)+1</f>
        <v>3</v>
      </c>
      <c r="E153" s="35" t="n">
        <v>0.354166666666667</v>
      </c>
      <c r="F153" s="35" t="n">
        <v>0.416666666666667</v>
      </c>
      <c r="G153" s="33" t="str">
        <f aca="false">TEXT(E153,"h:mm")&amp;" to "&amp;TEXT(F153,"h:mm")</f>
        <v>8:30 to 10:00</v>
      </c>
      <c r="H153" s="36" t="n">
        <f aca="false">ROUND((F153-E153)*24,2)</f>
        <v>1.5</v>
      </c>
      <c r="I153" s="46" t="s">
        <v>247</v>
      </c>
      <c r="J153" s="47" t="s">
        <v>32</v>
      </c>
      <c r="K153" s="33" t="s">
        <v>8</v>
      </c>
      <c r="L153" s="33" t="s">
        <v>26</v>
      </c>
      <c r="M153" s="39" t="s">
        <v>238</v>
      </c>
    </row>
    <row r="154" customFormat="false" ht="15" hidden="false" customHeight="false" outlineLevel="0" collapsed="false">
      <c r="A154" s="33" t="n">
        <v>18</v>
      </c>
      <c r="B154" s="34" t="n">
        <v>46342</v>
      </c>
      <c r="C154" s="33" t="str">
        <f aca="false">TEXT(B154,"dddd")</f>
        <v>Monday</v>
      </c>
      <c r="D154" s="33" t="n">
        <f aca="false">INT((A154-1)/6)+1</f>
        <v>3</v>
      </c>
      <c r="E154" s="35" t="n">
        <v>0.416666666666667</v>
      </c>
      <c r="F154" s="35" t="n">
        <v>0.427083333333333</v>
      </c>
      <c r="G154" s="33" t="str">
        <f aca="false">TEXT(E154,"h:mm")&amp;" to "&amp;TEXT(F154,"h:mm")</f>
        <v>10:00 to 10:15</v>
      </c>
      <c r="H154" s="36" t="n">
        <f aca="false">ROUND((F154-E154)*24,2)</f>
        <v>0.25</v>
      </c>
      <c r="I154" s="37" t="s">
        <v>133</v>
      </c>
      <c r="J154" s="38" t="s">
        <v>36</v>
      </c>
      <c r="K154" s="33"/>
      <c r="L154" s="33"/>
      <c r="M154" s="39"/>
    </row>
    <row r="155" customFormat="false" ht="15" hidden="false" customHeight="false" outlineLevel="0" collapsed="false">
      <c r="A155" s="33" t="n">
        <v>18</v>
      </c>
      <c r="B155" s="34" t="n">
        <v>46342</v>
      </c>
      <c r="C155" s="33" t="str">
        <f aca="false">TEXT(B155,"dddd")</f>
        <v>Monday</v>
      </c>
      <c r="D155" s="33" t="n">
        <f aca="false">INT((A155-1)/6)+1</f>
        <v>3</v>
      </c>
      <c r="E155" s="35" t="n">
        <v>0.427083333333333</v>
      </c>
      <c r="F155" s="35" t="n">
        <v>0.479166666666667</v>
      </c>
      <c r="G155" s="33" t="str">
        <f aca="false">TEXT(E155,"h:mm")&amp;" to "&amp;TEXT(F155,"h:mm")</f>
        <v>10:15 to 11:30</v>
      </c>
      <c r="H155" s="36" t="n">
        <f aca="false">ROUND((F155-E155)*24,2)</f>
        <v>1.25</v>
      </c>
      <c r="I155" s="46" t="s">
        <v>248</v>
      </c>
      <c r="J155" s="47" t="s">
        <v>32</v>
      </c>
      <c r="K155" s="33" t="s">
        <v>8</v>
      </c>
      <c r="L155" s="33" t="s">
        <v>26</v>
      </c>
      <c r="M155" s="39" t="s">
        <v>238</v>
      </c>
    </row>
    <row r="156" customFormat="false" ht="15" hidden="false" customHeight="false" outlineLevel="0" collapsed="false">
      <c r="A156" s="33" t="n">
        <v>18</v>
      </c>
      <c r="B156" s="34" t="n">
        <v>46342</v>
      </c>
      <c r="C156" s="33" t="str">
        <f aca="false">TEXT(B156,"dddd")</f>
        <v>Monday</v>
      </c>
      <c r="D156" s="33" t="n">
        <f aca="false">INT((A156-1)/6)+1</f>
        <v>3</v>
      </c>
      <c r="E156" s="35" t="n">
        <v>0.479166666666667</v>
      </c>
      <c r="F156" s="35" t="n">
        <v>0.541666666666667</v>
      </c>
      <c r="G156" s="33" t="str">
        <f aca="false">TEXT(E156,"h:mm")&amp;" to "&amp;TEXT(F156,"h:mm")</f>
        <v>11:30 to 13:00</v>
      </c>
      <c r="H156" s="36" t="n">
        <f aca="false">ROUND((F156-E156)*24,2)</f>
        <v>1.5</v>
      </c>
      <c r="I156" s="37" t="s">
        <v>136</v>
      </c>
      <c r="J156" s="38" t="s">
        <v>36</v>
      </c>
      <c r="K156" s="33"/>
      <c r="L156" s="33"/>
      <c r="M156" s="39"/>
    </row>
    <row r="157" customFormat="false" ht="23.85" hidden="false" customHeight="false" outlineLevel="0" collapsed="false">
      <c r="A157" s="33" t="n">
        <v>18</v>
      </c>
      <c r="B157" s="34" t="n">
        <v>46342</v>
      </c>
      <c r="C157" s="33" t="str">
        <f aca="false">TEXT(B157,"dddd")</f>
        <v>Monday</v>
      </c>
      <c r="D157" s="33" t="n">
        <f aca="false">INT((A157-1)/6)+1</f>
        <v>3</v>
      </c>
      <c r="E157" s="35" t="n">
        <v>0.541666666666667</v>
      </c>
      <c r="F157" s="35" t="n">
        <v>0.604166666666667</v>
      </c>
      <c r="G157" s="33" t="str">
        <f aca="false">TEXT(E157,"h:mm")&amp;" to "&amp;TEXT(F157,"h:mm")</f>
        <v>13:00 to 14:30</v>
      </c>
      <c r="H157" s="36" t="n">
        <f aca="false">ROUND((F157-E157)*24,2)</f>
        <v>1.5</v>
      </c>
      <c r="I157" s="44" t="s">
        <v>249</v>
      </c>
      <c r="J157" s="45" t="s">
        <v>31</v>
      </c>
      <c r="K157" s="33" t="s">
        <v>7</v>
      </c>
      <c r="L157" s="33" t="s">
        <v>21</v>
      </c>
      <c r="M157" s="39" t="s">
        <v>250</v>
      </c>
    </row>
    <row r="158" customFormat="false" ht="15" hidden="false" customHeight="false" outlineLevel="0" collapsed="false">
      <c r="A158" s="33" t="n">
        <v>18</v>
      </c>
      <c r="B158" s="34" t="n">
        <v>46342</v>
      </c>
      <c r="C158" s="33" t="str">
        <f aca="false">TEXT(B158,"dddd")</f>
        <v>Monday</v>
      </c>
      <c r="D158" s="33" t="n">
        <f aca="false">INT((A158-1)/6)+1</f>
        <v>3</v>
      </c>
      <c r="E158" s="35" t="n">
        <v>0.604166666666667</v>
      </c>
      <c r="F158" s="35" t="n">
        <v>0.614583333333333</v>
      </c>
      <c r="G158" s="33" t="str">
        <f aca="false">TEXT(E158,"h:mm")&amp;" to "&amp;TEXT(F158,"h:mm")</f>
        <v>14:30 to 14:45</v>
      </c>
      <c r="H158" s="36" t="n">
        <f aca="false">ROUND((F158-E158)*24,2)</f>
        <v>0.25</v>
      </c>
      <c r="I158" s="37" t="s">
        <v>139</v>
      </c>
      <c r="J158" s="38" t="s">
        <v>36</v>
      </c>
      <c r="K158" s="33"/>
      <c r="L158" s="33"/>
      <c r="M158" s="39"/>
    </row>
    <row r="159" customFormat="false" ht="15" hidden="false" customHeight="false" outlineLevel="0" collapsed="false">
      <c r="A159" s="33" t="n">
        <v>18</v>
      </c>
      <c r="B159" s="34" t="n">
        <v>46342</v>
      </c>
      <c r="C159" s="33" t="str">
        <f aca="false">TEXT(B159,"dddd")</f>
        <v>Monday</v>
      </c>
      <c r="D159" s="33" t="n">
        <f aca="false">INT((A159-1)/6)+1</f>
        <v>3</v>
      </c>
      <c r="E159" s="35" t="n">
        <v>0.614583333333333</v>
      </c>
      <c r="F159" s="35" t="n">
        <v>0.645833333333333</v>
      </c>
      <c r="G159" s="33" t="str">
        <f aca="false">TEXT(E159,"h:mm")&amp;" to "&amp;TEXT(F159,"h:mm")</f>
        <v>14:45 to 15:30</v>
      </c>
      <c r="H159" s="36" t="n">
        <f aca="false">ROUND((F159-E159)*24,2)</f>
        <v>0.75</v>
      </c>
      <c r="I159" s="44" t="s">
        <v>251</v>
      </c>
      <c r="J159" s="45" t="s">
        <v>31</v>
      </c>
      <c r="K159" s="33" t="s">
        <v>7</v>
      </c>
      <c r="L159" s="33" t="s">
        <v>21</v>
      </c>
      <c r="M159" s="39"/>
    </row>
    <row r="160" customFormat="false" ht="15" hidden="false" customHeight="false" outlineLevel="0" collapsed="false">
      <c r="A160" s="33" t="n">
        <v>18</v>
      </c>
      <c r="B160" s="34" t="n">
        <v>46342</v>
      </c>
      <c r="C160" s="33" t="str">
        <f aca="false">TEXT(B160,"dddd")</f>
        <v>Monday</v>
      </c>
      <c r="D160" s="33" t="n">
        <f aca="false">INT((A160-1)/6)+1</f>
        <v>3</v>
      </c>
      <c r="E160" s="35" t="n">
        <v>0.645833333333333</v>
      </c>
      <c r="F160" s="35" t="n">
        <v>0.6875</v>
      </c>
      <c r="G160" s="33" t="str">
        <f aca="false">TEXT(E160,"h:mm")&amp;" to "&amp;TEXT(F160,"h:mm")</f>
        <v>15:30 to 16:30</v>
      </c>
      <c r="H160" s="36" t="n">
        <f aca="false">ROUND((F160-E160)*24,2)</f>
        <v>1</v>
      </c>
      <c r="I160" s="48" t="s">
        <v>164</v>
      </c>
      <c r="J160" s="49" t="s">
        <v>33</v>
      </c>
      <c r="K160" s="33" t="s">
        <v>7</v>
      </c>
      <c r="L160" s="33" t="s">
        <v>21</v>
      </c>
      <c r="M160" s="39" t="s">
        <v>252</v>
      </c>
    </row>
    <row r="161" customFormat="false" ht="15" hidden="false" customHeight="false" outlineLevel="0" collapsed="false">
      <c r="A161" s="33" t="n">
        <v>19</v>
      </c>
      <c r="B161" s="34" t="n">
        <v>46343</v>
      </c>
      <c r="C161" s="33" t="str">
        <f aca="false">TEXT(B161,"dddd")</f>
        <v>Tuesday</v>
      </c>
      <c r="D161" s="33" t="n">
        <f aca="false">INT((A161-1)/6)+1</f>
        <v>4</v>
      </c>
      <c r="E161" s="35" t="n">
        <v>0.354166666666667</v>
      </c>
      <c r="F161" s="35" t="n">
        <v>0.416666666666667</v>
      </c>
      <c r="G161" s="33" t="str">
        <f aca="false">TEXT(E161,"h:mm")&amp;" to "&amp;TEXT(F161,"h:mm")</f>
        <v>8:30 to 10:00</v>
      </c>
      <c r="H161" s="36" t="n">
        <f aca="false">ROUND((F161-E161)*24,2)</f>
        <v>1.5</v>
      </c>
      <c r="I161" s="46" t="s">
        <v>253</v>
      </c>
      <c r="J161" s="47" t="s">
        <v>32</v>
      </c>
      <c r="K161" s="33" t="s">
        <v>8</v>
      </c>
      <c r="L161" s="33" t="s">
        <v>26</v>
      </c>
      <c r="M161" s="39" t="s">
        <v>238</v>
      </c>
    </row>
    <row r="162" customFormat="false" ht="15" hidden="false" customHeight="false" outlineLevel="0" collapsed="false">
      <c r="A162" s="33" t="n">
        <v>19</v>
      </c>
      <c r="B162" s="34" t="n">
        <v>46343</v>
      </c>
      <c r="C162" s="33" t="str">
        <f aca="false">TEXT(B162,"dddd")</f>
        <v>Tuesday</v>
      </c>
      <c r="D162" s="33" t="n">
        <f aca="false">INT((A162-1)/6)+1</f>
        <v>4</v>
      </c>
      <c r="E162" s="35" t="n">
        <v>0.416666666666667</v>
      </c>
      <c r="F162" s="35" t="n">
        <v>0.427083333333333</v>
      </c>
      <c r="G162" s="33" t="str">
        <f aca="false">TEXT(E162,"h:mm")&amp;" to "&amp;TEXT(F162,"h:mm")</f>
        <v>10:00 to 10:15</v>
      </c>
      <c r="H162" s="36" t="n">
        <f aca="false">ROUND((F162-E162)*24,2)</f>
        <v>0.25</v>
      </c>
      <c r="I162" s="37" t="s">
        <v>133</v>
      </c>
      <c r="J162" s="38" t="s">
        <v>36</v>
      </c>
      <c r="K162" s="33"/>
      <c r="L162" s="33"/>
      <c r="M162" s="39"/>
    </row>
    <row r="163" customFormat="false" ht="23.85" hidden="false" customHeight="false" outlineLevel="0" collapsed="false">
      <c r="A163" s="33" t="n">
        <v>19</v>
      </c>
      <c r="B163" s="34" t="n">
        <v>46343</v>
      </c>
      <c r="C163" s="33" t="str">
        <f aca="false">TEXT(B163,"dddd")</f>
        <v>Tuesday</v>
      </c>
      <c r="D163" s="33" t="n">
        <f aca="false">INT((A163-1)/6)+1</f>
        <v>4</v>
      </c>
      <c r="E163" s="35" t="n">
        <v>0.427083333333333</v>
      </c>
      <c r="F163" s="35" t="n">
        <v>0.479166666666667</v>
      </c>
      <c r="G163" s="33" t="str">
        <f aca="false">TEXT(E163,"h:mm")&amp;" to "&amp;TEXT(F163,"h:mm")</f>
        <v>10:15 to 11:30</v>
      </c>
      <c r="H163" s="36" t="n">
        <f aca="false">ROUND((F163-E163)*24,2)</f>
        <v>1.25</v>
      </c>
      <c r="I163" s="46" t="s">
        <v>254</v>
      </c>
      <c r="J163" s="47" t="s">
        <v>32</v>
      </c>
      <c r="K163" s="33" t="s">
        <v>8</v>
      </c>
      <c r="L163" s="33" t="s">
        <v>26</v>
      </c>
      <c r="M163" s="39" t="s">
        <v>238</v>
      </c>
    </row>
    <row r="164" customFormat="false" ht="15" hidden="false" customHeight="false" outlineLevel="0" collapsed="false">
      <c r="A164" s="33" t="n">
        <v>19</v>
      </c>
      <c r="B164" s="34" t="n">
        <v>46343</v>
      </c>
      <c r="C164" s="33" t="str">
        <f aca="false">TEXT(B164,"dddd")</f>
        <v>Tuesday</v>
      </c>
      <c r="D164" s="33" t="n">
        <f aca="false">INT((A164-1)/6)+1</f>
        <v>4</v>
      </c>
      <c r="E164" s="35" t="n">
        <v>0.479166666666667</v>
      </c>
      <c r="F164" s="35" t="n">
        <v>0.541666666666667</v>
      </c>
      <c r="G164" s="33" t="str">
        <f aca="false">TEXT(E164,"h:mm")&amp;" to "&amp;TEXT(F164,"h:mm")</f>
        <v>11:30 to 13:00</v>
      </c>
      <c r="H164" s="36" t="n">
        <f aca="false">ROUND((F164-E164)*24,2)</f>
        <v>1.5</v>
      </c>
      <c r="I164" s="37" t="s">
        <v>136</v>
      </c>
      <c r="J164" s="38" t="s">
        <v>36</v>
      </c>
      <c r="K164" s="33"/>
      <c r="L164" s="33"/>
      <c r="M164" s="39"/>
    </row>
    <row r="165" customFormat="false" ht="15" hidden="false" customHeight="false" outlineLevel="0" collapsed="false">
      <c r="A165" s="33" t="n">
        <v>19</v>
      </c>
      <c r="B165" s="34" t="n">
        <v>46343</v>
      </c>
      <c r="C165" s="33" t="str">
        <f aca="false">TEXT(B165,"dddd")</f>
        <v>Tuesday</v>
      </c>
      <c r="D165" s="33" t="n">
        <f aca="false">INT((A165-1)/6)+1</f>
        <v>4</v>
      </c>
      <c r="E165" s="35" t="n">
        <v>0.541666666666667</v>
      </c>
      <c r="F165" s="35" t="n">
        <v>0.583333333333333</v>
      </c>
      <c r="G165" s="33" t="str">
        <f aca="false">TEXT(E165,"h:mm")&amp;" to "&amp;TEXT(F165,"h:mm")</f>
        <v>13:00 to 14:00</v>
      </c>
      <c r="H165" s="36" t="n">
        <f aca="false">ROUND((F165-E165)*24,2)</f>
        <v>1</v>
      </c>
      <c r="I165" s="44" t="s">
        <v>191</v>
      </c>
      <c r="J165" s="45" t="s">
        <v>31</v>
      </c>
      <c r="K165" s="33" t="s">
        <v>7</v>
      </c>
      <c r="L165" s="33" t="s">
        <v>21</v>
      </c>
      <c r="M165" s="39" t="s">
        <v>255</v>
      </c>
    </row>
    <row r="166" customFormat="false" ht="35.05" hidden="false" customHeight="false" outlineLevel="0" collapsed="false">
      <c r="A166" s="33" t="n">
        <v>19</v>
      </c>
      <c r="B166" s="34" t="n">
        <v>46343</v>
      </c>
      <c r="C166" s="33" t="str">
        <f aca="false">TEXT(B166,"dddd")</f>
        <v>Tuesday</v>
      </c>
      <c r="D166" s="33" t="n">
        <f aca="false">INT((A166-1)/6)+1</f>
        <v>4</v>
      </c>
      <c r="E166" s="35" t="n">
        <v>0.541666666666667</v>
      </c>
      <c r="F166" s="35" t="n">
        <v>0.6875</v>
      </c>
      <c r="G166" s="33" t="str">
        <f aca="false">TEXT(E166,"h:mm")&amp;" to "&amp;TEXT(F166,"h:mm")</f>
        <v>13:00 to 16:30</v>
      </c>
      <c r="H166" s="36" t="n">
        <f aca="false">ROUND((F166-E166)*24,2)</f>
        <v>3.5</v>
      </c>
      <c r="I166" s="40" t="s">
        <v>256</v>
      </c>
      <c r="J166" s="41" t="s">
        <v>35</v>
      </c>
      <c r="K166" s="33" t="s">
        <v>7</v>
      </c>
      <c r="L166" s="33" t="s">
        <v>19</v>
      </c>
      <c r="M166" s="39" t="s">
        <v>217</v>
      </c>
    </row>
    <row r="167" customFormat="false" ht="15" hidden="false" customHeight="false" outlineLevel="0" collapsed="false">
      <c r="A167" s="33" t="n">
        <v>19</v>
      </c>
      <c r="B167" s="34" t="n">
        <v>46343</v>
      </c>
      <c r="C167" s="33" t="str">
        <f aca="false">TEXT(B167,"dddd")</f>
        <v>Tuesday</v>
      </c>
      <c r="D167" s="33" t="n">
        <f aca="false">INT((A167-1)/6)+1</f>
        <v>4</v>
      </c>
      <c r="E167" s="35" t="n">
        <v>0.583333333333333</v>
      </c>
      <c r="F167" s="35" t="n">
        <v>0.59375</v>
      </c>
      <c r="G167" s="33" t="str">
        <f aca="false">TEXT(E167,"h:mm")&amp;" to "&amp;TEXT(F167,"h:mm")</f>
        <v>14:00 to 14:15</v>
      </c>
      <c r="H167" s="36" t="n">
        <f aca="false">ROUND((F167-E167)*24,2)</f>
        <v>0.25</v>
      </c>
      <c r="I167" s="37" t="s">
        <v>139</v>
      </c>
      <c r="J167" s="38" t="s">
        <v>36</v>
      </c>
      <c r="K167" s="33"/>
      <c r="L167" s="33"/>
      <c r="M167" s="39"/>
    </row>
    <row r="168" customFormat="false" ht="15" hidden="false" customHeight="false" outlineLevel="0" collapsed="false">
      <c r="A168" s="33" t="n">
        <v>19</v>
      </c>
      <c r="B168" s="34" t="n">
        <v>46343</v>
      </c>
      <c r="C168" s="33" t="str">
        <f aca="false">TEXT(B168,"dddd")</f>
        <v>Tuesday</v>
      </c>
      <c r="D168" s="33" t="n">
        <f aca="false">INT((A168-1)/6)+1</f>
        <v>4</v>
      </c>
      <c r="E168" s="35" t="n">
        <v>0.59375</v>
      </c>
      <c r="F168" s="35" t="n">
        <v>0.635416666666667</v>
      </c>
      <c r="G168" s="33" t="str">
        <f aca="false">TEXT(E168,"h:mm")&amp;" to "&amp;TEXT(F168,"h:mm")</f>
        <v>14:15 to 15:15</v>
      </c>
      <c r="H168" s="36" t="n">
        <f aca="false">ROUND((F168-E168)*24,2)</f>
        <v>1</v>
      </c>
      <c r="I168" s="44" t="s">
        <v>193</v>
      </c>
      <c r="J168" s="45" t="s">
        <v>31</v>
      </c>
      <c r="K168" s="33" t="s">
        <v>7</v>
      </c>
      <c r="L168" s="33" t="s">
        <v>21</v>
      </c>
      <c r="M168" s="39" t="s">
        <v>257</v>
      </c>
    </row>
    <row r="169" customFormat="false" ht="15" hidden="false" customHeight="false" outlineLevel="0" collapsed="false">
      <c r="A169" s="33" t="n">
        <v>19</v>
      </c>
      <c r="B169" s="34" t="n">
        <v>46343</v>
      </c>
      <c r="C169" s="33" t="str">
        <f aca="false">TEXT(B169,"dddd")</f>
        <v>Tuesday</v>
      </c>
      <c r="D169" s="33" t="n">
        <f aca="false">INT((A169-1)/6)+1</f>
        <v>4</v>
      </c>
      <c r="E169" s="35" t="n">
        <v>0.635416666666667</v>
      </c>
      <c r="F169" s="35" t="n">
        <v>0.645833333333333</v>
      </c>
      <c r="G169" s="33" t="str">
        <f aca="false">TEXT(E169,"h:mm")&amp;" to "&amp;TEXT(F169,"h:mm")</f>
        <v>15:15 to 15:30</v>
      </c>
      <c r="H169" s="36" t="n">
        <f aca="false">ROUND((F169-E169)*24,2)</f>
        <v>0.25</v>
      </c>
      <c r="I169" s="37" t="s">
        <v>139</v>
      </c>
      <c r="J169" s="38" t="s">
        <v>36</v>
      </c>
      <c r="K169" s="33"/>
      <c r="L169" s="33"/>
      <c r="M169" s="39"/>
    </row>
    <row r="170" customFormat="false" ht="35.05" hidden="false" customHeight="false" outlineLevel="0" collapsed="false">
      <c r="A170" s="33" t="n">
        <v>19</v>
      </c>
      <c r="B170" s="34" t="n">
        <v>46343</v>
      </c>
      <c r="C170" s="33" t="str">
        <f aca="false">TEXT(B170,"dddd")</f>
        <v>Tuesday</v>
      </c>
      <c r="D170" s="33" t="n">
        <f aca="false">INT((A170-1)/6)+1</f>
        <v>4</v>
      </c>
      <c r="E170" s="35" t="n">
        <v>0.645833333333333</v>
      </c>
      <c r="F170" s="35" t="n">
        <v>0.6875</v>
      </c>
      <c r="G170" s="33" t="str">
        <f aca="false">TEXT(E170,"h:mm")&amp;" to "&amp;TEXT(F170,"h:mm")</f>
        <v>15:30 to 16:30</v>
      </c>
      <c r="H170" s="36" t="n">
        <f aca="false">ROUND((F170-E170)*24,2)</f>
        <v>1</v>
      </c>
      <c r="I170" s="48" t="s">
        <v>164</v>
      </c>
      <c r="J170" s="49" t="s">
        <v>33</v>
      </c>
      <c r="K170" s="33" t="s">
        <v>7</v>
      </c>
      <c r="L170" s="33" t="s">
        <v>21</v>
      </c>
      <c r="M170" s="39" t="s">
        <v>258</v>
      </c>
    </row>
    <row r="171" customFormat="false" ht="15" hidden="false" customHeight="false" outlineLevel="0" collapsed="false">
      <c r="A171" s="33" t="n">
        <v>20</v>
      </c>
      <c r="B171" s="34" t="n">
        <v>46344</v>
      </c>
      <c r="C171" s="33" t="str">
        <f aca="false">TEXT(B171,"dddd")</f>
        <v>Wednesday</v>
      </c>
      <c r="D171" s="33" t="n">
        <f aca="false">INT((A171-1)/6)+1</f>
        <v>4</v>
      </c>
      <c r="E171" s="35" t="n">
        <v>0.354166666666667</v>
      </c>
      <c r="F171" s="35" t="n">
        <v>0.375</v>
      </c>
      <c r="G171" s="33" t="str">
        <f aca="false">TEXT(E171,"h:mm")&amp;" to "&amp;TEXT(F171,"h:mm")</f>
        <v>8:30 to 9:00</v>
      </c>
      <c r="H171" s="36" t="n">
        <f aca="false">ROUND((F171-E171)*24,2)</f>
        <v>0.5</v>
      </c>
      <c r="I171" s="42" t="s">
        <v>175</v>
      </c>
      <c r="J171" s="43" t="s">
        <v>34</v>
      </c>
      <c r="K171" s="33"/>
      <c r="L171" s="33"/>
      <c r="M171" s="39" t="s">
        <v>176</v>
      </c>
    </row>
    <row r="172" customFormat="false" ht="23.85" hidden="false" customHeight="false" outlineLevel="0" collapsed="false">
      <c r="A172" s="33" t="n">
        <v>20</v>
      </c>
      <c r="B172" s="34" t="n">
        <v>46344</v>
      </c>
      <c r="C172" s="33" t="str">
        <f aca="false">TEXT(B172,"dddd")</f>
        <v>Wednesday</v>
      </c>
      <c r="D172" s="33" t="n">
        <f aca="false">INT((A172-1)/6)+1</f>
        <v>4</v>
      </c>
      <c r="E172" s="35" t="n">
        <v>0.375</v>
      </c>
      <c r="F172" s="35" t="n">
        <v>0.4375</v>
      </c>
      <c r="G172" s="33" t="str">
        <f aca="false">TEXT(E172,"h:mm")&amp;" to "&amp;TEXT(F172,"h:mm")</f>
        <v>9:00 to 10:30</v>
      </c>
      <c r="H172" s="36" t="n">
        <f aca="false">ROUND((F172-E172)*24,2)</f>
        <v>1.5</v>
      </c>
      <c r="I172" s="44" t="s">
        <v>177</v>
      </c>
      <c r="J172" s="45" t="s">
        <v>31</v>
      </c>
      <c r="K172" s="33" t="s">
        <v>7</v>
      </c>
      <c r="L172" s="33" t="s">
        <v>16</v>
      </c>
      <c r="M172" s="39" t="s">
        <v>259</v>
      </c>
    </row>
    <row r="173" customFormat="false" ht="15" hidden="false" customHeight="false" outlineLevel="0" collapsed="false">
      <c r="A173" s="33" t="n">
        <v>20</v>
      </c>
      <c r="B173" s="34" t="n">
        <v>46344</v>
      </c>
      <c r="C173" s="33" t="str">
        <f aca="false">TEXT(B173,"dddd")</f>
        <v>Wednesday</v>
      </c>
      <c r="D173" s="33" t="n">
        <f aca="false">INT((A173-1)/6)+1</f>
        <v>4</v>
      </c>
      <c r="E173" s="35" t="n">
        <v>0.4375</v>
      </c>
      <c r="F173" s="35" t="n">
        <v>0.447916666666667</v>
      </c>
      <c r="G173" s="33" t="str">
        <f aca="false">TEXT(E173,"h:mm")&amp;" to "&amp;TEXT(F173,"h:mm")</f>
        <v>10:30 to 10:45</v>
      </c>
      <c r="H173" s="36" t="n">
        <f aca="false">ROUND((F173-E173)*24,2)</f>
        <v>0.25</v>
      </c>
      <c r="I173" s="37" t="s">
        <v>133</v>
      </c>
      <c r="J173" s="38" t="s">
        <v>36</v>
      </c>
      <c r="K173" s="33"/>
      <c r="L173" s="33"/>
      <c r="M173" s="39"/>
    </row>
    <row r="174" customFormat="false" ht="15" hidden="false" customHeight="false" outlineLevel="0" collapsed="false">
      <c r="A174" s="33" t="n">
        <v>20</v>
      </c>
      <c r="B174" s="34" t="n">
        <v>46344</v>
      </c>
      <c r="C174" s="33" t="str">
        <f aca="false">TEXT(B174,"dddd")</f>
        <v>Wednesday</v>
      </c>
      <c r="D174" s="33" t="n">
        <f aca="false">INT((A174-1)/6)+1</f>
        <v>4</v>
      </c>
      <c r="E174" s="35" t="n">
        <v>0.447916666666667</v>
      </c>
      <c r="F174" s="35" t="n">
        <v>0.5</v>
      </c>
      <c r="G174" s="33" t="str">
        <f aca="false">TEXT(E174,"h:mm")&amp;" to "&amp;TEXT(F174,"h:mm")</f>
        <v>10:45 to 12:00</v>
      </c>
      <c r="H174" s="36" t="n">
        <f aca="false">ROUND((F174-E174)*24,2)</f>
        <v>1.25</v>
      </c>
      <c r="I174" s="44" t="s">
        <v>179</v>
      </c>
      <c r="J174" s="45" t="s">
        <v>31</v>
      </c>
      <c r="K174" s="33" t="s">
        <v>7</v>
      </c>
      <c r="L174" s="33" t="s">
        <v>16</v>
      </c>
      <c r="M174" s="39" t="s">
        <v>260</v>
      </c>
    </row>
    <row r="175" customFormat="false" ht="15" hidden="false" customHeight="false" outlineLevel="0" collapsed="false">
      <c r="A175" s="33" t="n">
        <v>20</v>
      </c>
      <c r="B175" s="34" t="n">
        <v>46344</v>
      </c>
      <c r="C175" s="33" t="str">
        <f aca="false">TEXT(B175,"dddd")</f>
        <v>Wednesday</v>
      </c>
      <c r="D175" s="33" t="n">
        <f aca="false">INT((A175-1)/6)+1</f>
        <v>4</v>
      </c>
      <c r="E175" s="35" t="n">
        <v>0.5</v>
      </c>
      <c r="F175" s="35" t="n">
        <v>0.541666666666667</v>
      </c>
      <c r="G175" s="33" t="str">
        <f aca="false">TEXT(E175,"h:mm")&amp;" to "&amp;TEXT(F175,"h:mm")</f>
        <v>12:00 to 13:00</v>
      </c>
      <c r="H175" s="36" t="n">
        <f aca="false">ROUND((F175-E175)*24,2)</f>
        <v>1</v>
      </c>
      <c r="I175" s="37" t="s">
        <v>136</v>
      </c>
      <c r="J175" s="38" t="s">
        <v>36</v>
      </c>
      <c r="K175" s="33"/>
      <c r="L175" s="33"/>
      <c r="M175" s="39"/>
    </row>
    <row r="176" customFormat="false" ht="15" hidden="false" customHeight="false" outlineLevel="0" collapsed="false">
      <c r="A176" s="33" t="n">
        <v>20</v>
      </c>
      <c r="B176" s="34" t="n">
        <v>46344</v>
      </c>
      <c r="C176" s="33" t="str">
        <f aca="false">TEXT(B176,"dddd")</f>
        <v>Wednesday</v>
      </c>
      <c r="D176" s="33" t="n">
        <f aca="false">INT((A176-1)/6)+1</f>
        <v>4</v>
      </c>
      <c r="E176" s="35" t="n">
        <v>0.541666666666667</v>
      </c>
      <c r="F176" s="35" t="n">
        <v>0.604166666666667</v>
      </c>
      <c r="G176" s="33" t="str">
        <f aca="false">TEXT(E176,"h:mm")&amp;" to "&amp;TEXT(F176,"h:mm")</f>
        <v>13:00 to 14:30</v>
      </c>
      <c r="H176" s="36" t="n">
        <f aca="false">ROUND((F176-E176)*24,2)</f>
        <v>1.5</v>
      </c>
      <c r="I176" s="46" t="s">
        <v>261</v>
      </c>
      <c r="J176" s="47" t="s">
        <v>32</v>
      </c>
      <c r="K176" s="33" t="s">
        <v>8</v>
      </c>
      <c r="L176" s="33" t="s">
        <v>28</v>
      </c>
      <c r="M176" s="39" t="s">
        <v>238</v>
      </c>
    </row>
    <row r="177" customFormat="false" ht="15" hidden="false" customHeight="false" outlineLevel="0" collapsed="false">
      <c r="A177" s="33" t="n">
        <v>20</v>
      </c>
      <c r="B177" s="34" t="n">
        <v>46344</v>
      </c>
      <c r="C177" s="33" t="str">
        <f aca="false">TEXT(B177,"dddd")</f>
        <v>Wednesday</v>
      </c>
      <c r="D177" s="33" t="n">
        <f aca="false">INT((A177-1)/6)+1</f>
        <v>4</v>
      </c>
      <c r="E177" s="35" t="n">
        <v>0.604166666666667</v>
      </c>
      <c r="F177" s="35" t="n">
        <v>0.614583333333333</v>
      </c>
      <c r="G177" s="33" t="str">
        <f aca="false">TEXT(E177,"h:mm")&amp;" to "&amp;TEXT(F177,"h:mm")</f>
        <v>14:30 to 14:45</v>
      </c>
      <c r="H177" s="36" t="n">
        <f aca="false">ROUND((F177-E177)*24,2)</f>
        <v>0.25</v>
      </c>
      <c r="I177" s="37" t="s">
        <v>139</v>
      </c>
      <c r="J177" s="38" t="s">
        <v>36</v>
      </c>
      <c r="K177" s="33"/>
      <c r="L177" s="33"/>
      <c r="M177" s="39"/>
    </row>
    <row r="178" customFormat="false" ht="23.85" hidden="false" customHeight="false" outlineLevel="0" collapsed="false">
      <c r="A178" s="33" t="n">
        <v>20</v>
      </c>
      <c r="B178" s="34" t="n">
        <v>46344</v>
      </c>
      <c r="C178" s="33" t="str">
        <f aca="false">TEXT(B178,"dddd")</f>
        <v>Wednesday</v>
      </c>
      <c r="D178" s="33" t="n">
        <f aca="false">INT((A178-1)/6)+1</f>
        <v>4</v>
      </c>
      <c r="E178" s="35" t="n">
        <v>0.614583333333333</v>
      </c>
      <c r="F178" s="35" t="n">
        <v>0.645833333333333</v>
      </c>
      <c r="G178" s="33" t="str">
        <f aca="false">TEXT(E178,"h:mm")&amp;" to "&amp;TEXT(F178,"h:mm")</f>
        <v>14:45 to 15:30</v>
      </c>
      <c r="H178" s="36" t="n">
        <f aca="false">ROUND((F178-E178)*24,2)</f>
        <v>0.75</v>
      </c>
      <c r="I178" s="46" t="s">
        <v>262</v>
      </c>
      <c r="J178" s="47" t="s">
        <v>32</v>
      </c>
      <c r="K178" s="33" t="s">
        <v>8</v>
      </c>
      <c r="L178" s="33" t="s">
        <v>28</v>
      </c>
      <c r="M178" s="39"/>
    </row>
    <row r="179" customFormat="false" ht="23.85" hidden="false" customHeight="false" outlineLevel="0" collapsed="false">
      <c r="A179" s="33" t="n">
        <v>20</v>
      </c>
      <c r="B179" s="34" t="n">
        <v>46344</v>
      </c>
      <c r="C179" s="33" t="str">
        <f aca="false">TEXT(B179,"dddd")</f>
        <v>Wednesday</v>
      </c>
      <c r="D179" s="33" t="n">
        <f aca="false">INT((A179-1)/6)+1</f>
        <v>4</v>
      </c>
      <c r="E179" s="35" t="n">
        <v>0.645833333333333</v>
      </c>
      <c r="F179" s="35" t="n">
        <v>0.6875</v>
      </c>
      <c r="G179" s="33" t="str">
        <f aca="false">TEXT(E179,"h:mm")&amp;" to "&amp;TEXT(F179,"h:mm")</f>
        <v>15:30 to 16:30</v>
      </c>
      <c r="H179" s="36" t="n">
        <f aca="false">ROUND((F179-E179)*24,2)</f>
        <v>1</v>
      </c>
      <c r="I179" s="48" t="s">
        <v>149</v>
      </c>
      <c r="J179" s="49" t="s">
        <v>33</v>
      </c>
      <c r="K179" s="33" t="s">
        <v>8</v>
      </c>
      <c r="L179" s="33" t="s">
        <v>28</v>
      </c>
      <c r="M179" s="39" t="s">
        <v>263</v>
      </c>
    </row>
    <row r="180" customFormat="false" ht="15" hidden="false" customHeight="false" outlineLevel="0" collapsed="false">
      <c r="A180" s="33" t="n">
        <v>21</v>
      </c>
      <c r="B180" s="34" t="n">
        <v>46345</v>
      </c>
      <c r="C180" s="33" t="str">
        <f aca="false">TEXT(B180,"dddd")</f>
        <v>Thursday</v>
      </c>
      <c r="D180" s="33" t="n">
        <f aca="false">INT((A180-1)/6)+1</f>
        <v>4</v>
      </c>
      <c r="E180" s="35" t="n">
        <v>0.354166666666667</v>
      </c>
      <c r="F180" s="35" t="n">
        <v>0.375</v>
      </c>
      <c r="G180" s="33" t="str">
        <f aca="false">TEXT(E180,"h:mm")&amp;" to "&amp;TEXT(F180,"h:mm")</f>
        <v>8:30 to 9:00</v>
      </c>
      <c r="H180" s="36" t="n">
        <f aca="false">ROUND((F180-E180)*24,2)</f>
        <v>0.5</v>
      </c>
      <c r="I180" s="42" t="s">
        <v>175</v>
      </c>
      <c r="J180" s="43" t="s">
        <v>34</v>
      </c>
      <c r="K180" s="33"/>
      <c r="L180" s="33"/>
      <c r="M180" s="39" t="s">
        <v>176</v>
      </c>
    </row>
    <row r="181" customFormat="false" ht="15" hidden="false" customHeight="false" outlineLevel="0" collapsed="false">
      <c r="A181" s="33" t="n">
        <v>21</v>
      </c>
      <c r="B181" s="34" t="n">
        <v>46345</v>
      </c>
      <c r="C181" s="33" t="str">
        <f aca="false">TEXT(B181,"dddd")</f>
        <v>Thursday</v>
      </c>
      <c r="D181" s="33" t="n">
        <f aca="false">INT((A181-1)/6)+1</f>
        <v>4</v>
      </c>
      <c r="E181" s="35" t="n">
        <v>0.375</v>
      </c>
      <c r="F181" s="35" t="n">
        <v>0.4375</v>
      </c>
      <c r="G181" s="33" t="str">
        <f aca="false">TEXT(E181,"h:mm")&amp;" to "&amp;TEXT(F181,"h:mm")</f>
        <v>9:00 to 10:30</v>
      </c>
      <c r="H181" s="36" t="n">
        <f aca="false">ROUND((F181-E181)*24,2)</f>
        <v>1.5</v>
      </c>
      <c r="I181" s="44" t="s">
        <v>177</v>
      </c>
      <c r="J181" s="45" t="s">
        <v>31</v>
      </c>
      <c r="K181" s="33" t="s">
        <v>7</v>
      </c>
      <c r="L181" s="33" t="s">
        <v>16</v>
      </c>
      <c r="M181" s="39" t="s">
        <v>264</v>
      </c>
    </row>
    <row r="182" customFormat="false" ht="15" hidden="false" customHeight="false" outlineLevel="0" collapsed="false">
      <c r="A182" s="33" t="n">
        <v>21</v>
      </c>
      <c r="B182" s="34" t="n">
        <v>46345</v>
      </c>
      <c r="C182" s="33" t="str">
        <f aca="false">TEXT(B182,"dddd")</f>
        <v>Thursday</v>
      </c>
      <c r="D182" s="33" t="n">
        <f aca="false">INT((A182-1)/6)+1</f>
        <v>4</v>
      </c>
      <c r="E182" s="35" t="n">
        <v>0.4375</v>
      </c>
      <c r="F182" s="35" t="n">
        <v>0.447916666666667</v>
      </c>
      <c r="G182" s="33" t="str">
        <f aca="false">TEXT(E182,"h:mm")&amp;" to "&amp;TEXT(F182,"h:mm")</f>
        <v>10:30 to 10:45</v>
      </c>
      <c r="H182" s="36" t="n">
        <f aca="false">ROUND((F182-E182)*24,2)</f>
        <v>0.25</v>
      </c>
      <c r="I182" s="37" t="s">
        <v>133</v>
      </c>
      <c r="J182" s="38" t="s">
        <v>36</v>
      </c>
      <c r="K182" s="33"/>
      <c r="L182" s="33"/>
      <c r="M182" s="39"/>
    </row>
    <row r="183" customFormat="false" ht="15" hidden="false" customHeight="false" outlineLevel="0" collapsed="false">
      <c r="A183" s="33" t="n">
        <v>21</v>
      </c>
      <c r="B183" s="34" t="n">
        <v>46345</v>
      </c>
      <c r="C183" s="33" t="str">
        <f aca="false">TEXT(B183,"dddd")</f>
        <v>Thursday</v>
      </c>
      <c r="D183" s="33" t="n">
        <f aca="false">INT((A183-1)/6)+1</f>
        <v>4</v>
      </c>
      <c r="E183" s="35" t="n">
        <v>0.447916666666667</v>
      </c>
      <c r="F183" s="35" t="n">
        <v>0.5</v>
      </c>
      <c r="G183" s="33" t="str">
        <f aca="false">TEXT(E183,"h:mm")&amp;" to "&amp;TEXT(F183,"h:mm")</f>
        <v>10:45 to 12:00</v>
      </c>
      <c r="H183" s="36" t="n">
        <f aca="false">ROUND((F183-E183)*24,2)</f>
        <v>1.25</v>
      </c>
      <c r="I183" s="44" t="s">
        <v>179</v>
      </c>
      <c r="J183" s="45" t="s">
        <v>31</v>
      </c>
      <c r="K183" s="33" t="s">
        <v>7</v>
      </c>
      <c r="L183" s="33" t="s">
        <v>16</v>
      </c>
      <c r="M183" s="39" t="s">
        <v>265</v>
      </c>
    </row>
    <row r="184" customFormat="false" ht="15" hidden="false" customHeight="false" outlineLevel="0" collapsed="false">
      <c r="A184" s="33" t="n">
        <v>21</v>
      </c>
      <c r="B184" s="34" t="n">
        <v>46345</v>
      </c>
      <c r="C184" s="33" t="str">
        <f aca="false">TEXT(B184,"dddd")</f>
        <v>Thursday</v>
      </c>
      <c r="D184" s="33" t="n">
        <f aca="false">INT((A184-1)/6)+1</f>
        <v>4</v>
      </c>
      <c r="E184" s="35" t="n">
        <v>0.5</v>
      </c>
      <c r="F184" s="35" t="n">
        <v>0.541666666666667</v>
      </c>
      <c r="G184" s="33" t="str">
        <f aca="false">TEXT(E184,"h:mm")&amp;" to "&amp;TEXT(F184,"h:mm")</f>
        <v>12:00 to 13:00</v>
      </c>
      <c r="H184" s="36" t="n">
        <f aca="false">ROUND((F184-E184)*24,2)</f>
        <v>1</v>
      </c>
      <c r="I184" s="37" t="s">
        <v>136</v>
      </c>
      <c r="J184" s="38" t="s">
        <v>36</v>
      </c>
      <c r="K184" s="33"/>
      <c r="L184" s="33"/>
      <c r="M184" s="39"/>
    </row>
    <row r="185" customFormat="false" ht="15" hidden="false" customHeight="false" outlineLevel="0" collapsed="false">
      <c r="A185" s="33" t="n">
        <v>21</v>
      </c>
      <c r="B185" s="34" t="n">
        <v>46345</v>
      </c>
      <c r="C185" s="33" t="str">
        <f aca="false">TEXT(B185,"dddd")</f>
        <v>Thursday</v>
      </c>
      <c r="D185" s="33" t="n">
        <f aca="false">INT((A185-1)/6)+1</f>
        <v>4</v>
      </c>
      <c r="E185" s="35" t="n">
        <v>0.541666666666667</v>
      </c>
      <c r="F185" s="35" t="n">
        <v>0.604166666666667</v>
      </c>
      <c r="G185" s="33" t="str">
        <f aca="false">TEXT(E185,"h:mm")&amp;" to "&amp;TEXT(F185,"h:mm")</f>
        <v>13:00 to 14:30</v>
      </c>
      <c r="H185" s="36" t="n">
        <f aca="false">ROUND((F185-E185)*24,2)</f>
        <v>1.5</v>
      </c>
      <c r="I185" s="46" t="s">
        <v>266</v>
      </c>
      <c r="J185" s="47" t="s">
        <v>32</v>
      </c>
      <c r="K185" s="33" t="s">
        <v>8</v>
      </c>
      <c r="L185" s="33" t="s">
        <v>28</v>
      </c>
      <c r="M185" s="39" t="s">
        <v>238</v>
      </c>
    </row>
    <row r="186" customFormat="false" ht="15" hidden="false" customHeight="false" outlineLevel="0" collapsed="false">
      <c r="A186" s="33" t="n">
        <v>21</v>
      </c>
      <c r="B186" s="34" t="n">
        <v>46345</v>
      </c>
      <c r="C186" s="33" t="str">
        <f aca="false">TEXT(B186,"dddd")</f>
        <v>Thursday</v>
      </c>
      <c r="D186" s="33" t="n">
        <f aca="false">INT((A186-1)/6)+1</f>
        <v>4</v>
      </c>
      <c r="E186" s="35" t="n">
        <v>0.604166666666667</v>
      </c>
      <c r="F186" s="35" t="n">
        <v>0.614583333333333</v>
      </c>
      <c r="G186" s="33" t="str">
        <f aca="false">TEXT(E186,"h:mm")&amp;" to "&amp;TEXT(F186,"h:mm")</f>
        <v>14:30 to 14:45</v>
      </c>
      <c r="H186" s="36" t="n">
        <f aca="false">ROUND((F186-E186)*24,2)</f>
        <v>0.25</v>
      </c>
      <c r="I186" s="37" t="s">
        <v>139</v>
      </c>
      <c r="J186" s="38" t="s">
        <v>36</v>
      </c>
      <c r="K186" s="33"/>
      <c r="L186" s="33"/>
      <c r="M186" s="39"/>
    </row>
    <row r="187" customFormat="false" ht="15" hidden="false" customHeight="false" outlineLevel="0" collapsed="false">
      <c r="A187" s="33" t="n">
        <v>21</v>
      </c>
      <c r="B187" s="34" t="n">
        <v>46345</v>
      </c>
      <c r="C187" s="33" t="str">
        <f aca="false">TEXT(B187,"dddd")</f>
        <v>Thursday</v>
      </c>
      <c r="D187" s="33" t="n">
        <f aca="false">INT((A187-1)/6)+1</f>
        <v>4</v>
      </c>
      <c r="E187" s="35" t="n">
        <v>0.614583333333333</v>
      </c>
      <c r="F187" s="35" t="n">
        <v>0.645833333333333</v>
      </c>
      <c r="G187" s="33" t="str">
        <f aca="false">TEXT(E187,"h:mm")&amp;" to "&amp;TEXT(F187,"h:mm")</f>
        <v>14:45 to 15:30</v>
      </c>
      <c r="H187" s="36" t="n">
        <f aca="false">ROUND((F187-E187)*24,2)</f>
        <v>0.75</v>
      </c>
      <c r="I187" s="46" t="s">
        <v>267</v>
      </c>
      <c r="J187" s="47" t="s">
        <v>32</v>
      </c>
      <c r="K187" s="33" t="s">
        <v>8</v>
      </c>
      <c r="L187" s="33" t="s">
        <v>28</v>
      </c>
      <c r="M187" s="39"/>
    </row>
    <row r="188" customFormat="false" ht="23.85" hidden="false" customHeight="false" outlineLevel="0" collapsed="false">
      <c r="A188" s="33" t="n">
        <v>21</v>
      </c>
      <c r="B188" s="34" t="n">
        <v>46345</v>
      </c>
      <c r="C188" s="33" t="str">
        <f aca="false">TEXT(B188,"dddd")</f>
        <v>Thursday</v>
      </c>
      <c r="D188" s="33" t="n">
        <f aca="false">INT((A188-1)/6)+1</f>
        <v>4</v>
      </c>
      <c r="E188" s="35" t="n">
        <v>0.645833333333333</v>
      </c>
      <c r="F188" s="35" t="n">
        <v>0.6875</v>
      </c>
      <c r="G188" s="33" t="str">
        <f aca="false">TEXT(E188,"h:mm")&amp;" to "&amp;TEXT(F188,"h:mm")</f>
        <v>15:30 to 16:30</v>
      </c>
      <c r="H188" s="36" t="n">
        <f aca="false">ROUND((F188-E188)*24,2)</f>
        <v>1</v>
      </c>
      <c r="I188" s="48" t="s">
        <v>149</v>
      </c>
      <c r="J188" s="49" t="s">
        <v>33</v>
      </c>
      <c r="K188" s="33" t="s">
        <v>8</v>
      </c>
      <c r="L188" s="33" t="s">
        <v>28</v>
      </c>
      <c r="M188" s="39" t="s">
        <v>268</v>
      </c>
    </row>
    <row r="189" customFormat="false" ht="15" hidden="false" customHeight="false" outlineLevel="0" collapsed="false">
      <c r="A189" s="33" t="n">
        <v>22</v>
      </c>
      <c r="B189" s="34" t="n">
        <v>46346</v>
      </c>
      <c r="C189" s="33" t="str">
        <f aca="false">TEXT(B189,"dddd")</f>
        <v>Friday</v>
      </c>
      <c r="D189" s="33" t="n">
        <f aca="false">INT((A189-1)/6)+1</f>
        <v>4</v>
      </c>
      <c r="E189" s="35" t="n">
        <v>0.354166666666667</v>
      </c>
      <c r="F189" s="35" t="n">
        <v>0.416666666666667</v>
      </c>
      <c r="G189" s="33" t="str">
        <f aca="false">TEXT(E189,"h:mm")&amp;" to "&amp;TEXT(F189,"h:mm")</f>
        <v>8:30 to 10:00</v>
      </c>
      <c r="H189" s="36" t="n">
        <f aca="false">ROUND((F189-E189)*24,2)</f>
        <v>1.5</v>
      </c>
      <c r="I189" s="46" t="s">
        <v>269</v>
      </c>
      <c r="J189" s="47" t="s">
        <v>32</v>
      </c>
      <c r="K189" s="33" t="s">
        <v>8</v>
      </c>
      <c r="L189" s="33" t="s">
        <v>26</v>
      </c>
      <c r="M189" s="39" t="s">
        <v>238</v>
      </c>
    </row>
    <row r="190" customFormat="false" ht="15" hidden="false" customHeight="false" outlineLevel="0" collapsed="false">
      <c r="A190" s="33" t="n">
        <v>22</v>
      </c>
      <c r="B190" s="34" t="n">
        <v>46346</v>
      </c>
      <c r="C190" s="33" t="str">
        <f aca="false">TEXT(B190,"dddd")</f>
        <v>Friday</v>
      </c>
      <c r="D190" s="33" t="n">
        <f aca="false">INT((A190-1)/6)+1</f>
        <v>4</v>
      </c>
      <c r="E190" s="35" t="n">
        <v>0.416666666666667</v>
      </c>
      <c r="F190" s="35" t="n">
        <v>0.427083333333333</v>
      </c>
      <c r="G190" s="33" t="str">
        <f aca="false">TEXT(E190,"h:mm")&amp;" to "&amp;TEXT(F190,"h:mm")</f>
        <v>10:00 to 10:15</v>
      </c>
      <c r="H190" s="36" t="n">
        <f aca="false">ROUND((F190-E190)*24,2)</f>
        <v>0.25</v>
      </c>
      <c r="I190" s="37" t="s">
        <v>133</v>
      </c>
      <c r="J190" s="38" t="s">
        <v>36</v>
      </c>
      <c r="K190" s="33"/>
      <c r="L190" s="33"/>
      <c r="M190" s="39"/>
    </row>
    <row r="191" customFormat="false" ht="15" hidden="false" customHeight="false" outlineLevel="0" collapsed="false">
      <c r="A191" s="33" t="n">
        <v>22</v>
      </c>
      <c r="B191" s="34" t="n">
        <v>46346</v>
      </c>
      <c r="C191" s="33" t="str">
        <f aca="false">TEXT(B191,"dddd")</f>
        <v>Friday</v>
      </c>
      <c r="D191" s="33" t="n">
        <f aca="false">INT((A191-1)/6)+1</f>
        <v>4</v>
      </c>
      <c r="E191" s="35" t="n">
        <v>0.427083333333333</v>
      </c>
      <c r="F191" s="35" t="n">
        <v>0.479166666666667</v>
      </c>
      <c r="G191" s="33" t="str">
        <f aca="false">TEXT(E191,"h:mm")&amp;" to "&amp;TEXT(F191,"h:mm")</f>
        <v>10:15 to 11:30</v>
      </c>
      <c r="H191" s="36" t="n">
        <f aca="false">ROUND((F191-E191)*24,2)</f>
        <v>1.25</v>
      </c>
      <c r="I191" s="46" t="s">
        <v>270</v>
      </c>
      <c r="J191" s="47" t="s">
        <v>32</v>
      </c>
      <c r="K191" s="33" t="s">
        <v>8</v>
      </c>
      <c r="L191" s="33" t="s">
        <v>26</v>
      </c>
      <c r="M191" s="39" t="s">
        <v>238</v>
      </c>
    </row>
    <row r="192" customFormat="false" ht="15" hidden="false" customHeight="false" outlineLevel="0" collapsed="false">
      <c r="A192" s="33" t="n">
        <v>22</v>
      </c>
      <c r="B192" s="34" t="n">
        <v>46346</v>
      </c>
      <c r="C192" s="33" t="str">
        <f aca="false">TEXT(B192,"dddd")</f>
        <v>Friday</v>
      </c>
      <c r="D192" s="33" t="n">
        <f aca="false">INT((A192-1)/6)+1</f>
        <v>4</v>
      </c>
      <c r="E192" s="35" t="n">
        <v>0.479166666666667</v>
      </c>
      <c r="F192" s="35" t="n">
        <v>0.541666666666667</v>
      </c>
      <c r="G192" s="33" t="str">
        <f aca="false">TEXT(E192,"h:mm")&amp;" to "&amp;TEXT(F192,"h:mm")</f>
        <v>11:30 to 13:00</v>
      </c>
      <c r="H192" s="36" t="n">
        <f aca="false">ROUND((F192-E192)*24,2)</f>
        <v>1.5</v>
      </c>
      <c r="I192" s="37" t="s">
        <v>136</v>
      </c>
      <c r="J192" s="38" t="s">
        <v>36</v>
      </c>
      <c r="K192" s="33"/>
      <c r="L192" s="33"/>
      <c r="M192" s="39"/>
    </row>
    <row r="193" customFormat="false" ht="15" hidden="false" customHeight="false" outlineLevel="0" collapsed="false">
      <c r="A193" s="33" t="n">
        <v>22</v>
      </c>
      <c r="B193" s="34" t="n">
        <v>46346</v>
      </c>
      <c r="C193" s="33" t="str">
        <f aca="false">TEXT(B193,"dddd")</f>
        <v>Friday</v>
      </c>
      <c r="D193" s="33" t="n">
        <f aca="false">INT((A193-1)/6)+1</f>
        <v>4</v>
      </c>
      <c r="E193" s="35" t="n">
        <v>0.541666666666667</v>
      </c>
      <c r="F193" s="35" t="n">
        <v>0.583333333333333</v>
      </c>
      <c r="G193" s="33" t="str">
        <f aca="false">TEXT(E193,"h:mm")&amp;" to "&amp;TEXT(F193,"h:mm")</f>
        <v>13:00 to 14:00</v>
      </c>
      <c r="H193" s="36" t="n">
        <f aca="false">ROUND((F193-E193)*24,2)</f>
        <v>1</v>
      </c>
      <c r="I193" s="44" t="s">
        <v>191</v>
      </c>
      <c r="J193" s="45" t="s">
        <v>31</v>
      </c>
      <c r="K193" s="33" t="s">
        <v>7</v>
      </c>
      <c r="L193" s="33" t="s">
        <v>21</v>
      </c>
      <c r="M193" s="39" t="s">
        <v>271</v>
      </c>
    </row>
    <row r="194" customFormat="false" ht="15" hidden="false" customHeight="false" outlineLevel="0" collapsed="false">
      <c r="A194" s="33" t="n">
        <v>22</v>
      </c>
      <c r="B194" s="34" t="n">
        <v>46346</v>
      </c>
      <c r="C194" s="33" t="str">
        <f aca="false">TEXT(B194,"dddd")</f>
        <v>Friday</v>
      </c>
      <c r="D194" s="33" t="n">
        <f aca="false">INT((A194-1)/6)+1</f>
        <v>4</v>
      </c>
      <c r="E194" s="35" t="n">
        <v>0.583333333333333</v>
      </c>
      <c r="F194" s="35" t="n">
        <v>0.59375</v>
      </c>
      <c r="G194" s="33" t="str">
        <f aca="false">TEXT(E194,"h:mm")&amp;" to "&amp;TEXT(F194,"h:mm")</f>
        <v>14:00 to 14:15</v>
      </c>
      <c r="H194" s="36" t="n">
        <f aca="false">ROUND((F194-E194)*24,2)</f>
        <v>0.25</v>
      </c>
      <c r="I194" s="37" t="s">
        <v>139</v>
      </c>
      <c r="J194" s="38" t="s">
        <v>36</v>
      </c>
      <c r="K194" s="33"/>
      <c r="L194" s="33"/>
      <c r="M194" s="39"/>
    </row>
    <row r="195" customFormat="false" ht="15" hidden="false" customHeight="false" outlineLevel="0" collapsed="false">
      <c r="A195" s="33" t="n">
        <v>22</v>
      </c>
      <c r="B195" s="34" t="n">
        <v>46346</v>
      </c>
      <c r="C195" s="33" t="str">
        <f aca="false">TEXT(B195,"dddd")</f>
        <v>Friday</v>
      </c>
      <c r="D195" s="33" t="n">
        <f aca="false">INT((A195-1)/6)+1</f>
        <v>4</v>
      </c>
      <c r="E195" s="35" t="n">
        <v>0.59375</v>
      </c>
      <c r="F195" s="35" t="n">
        <v>0.635416666666667</v>
      </c>
      <c r="G195" s="33" t="str">
        <f aca="false">TEXT(E195,"h:mm")&amp;" to "&amp;TEXT(F195,"h:mm")</f>
        <v>14:15 to 15:15</v>
      </c>
      <c r="H195" s="36" t="n">
        <f aca="false">ROUND((F195-E195)*24,2)</f>
        <v>1</v>
      </c>
      <c r="I195" s="44" t="s">
        <v>193</v>
      </c>
      <c r="J195" s="45" t="s">
        <v>31</v>
      </c>
      <c r="K195" s="33" t="s">
        <v>7</v>
      </c>
      <c r="L195" s="33" t="s">
        <v>21</v>
      </c>
      <c r="M195" s="39" t="s">
        <v>272</v>
      </c>
    </row>
    <row r="196" customFormat="false" ht="15" hidden="false" customHeight="false" outlineLevel="0" collapsed="false">
      <c r="A196" s="33" t="n">
        <v>22</v>
      </c>
      <c r="B196" s="34" t="n">
        <v>46346</v>
      </c>
      <c r="C196" s="33" t="str">
        <f aca="false">TEXT(B196,"dddd")</f>
        <v>Friday</v>
      </c>
      <c r="D196" s="33" t="n">
        <f aca="false">INT((A196-1)/6)+1</f>
        <v>4</v>
      </c>
      <c r="E196" s="35" t="n">
        <v>0.635416666666667</v>
      </c>
      <c r="F196" s="35" t="n">
        <v>0.645833333333333</v>
      </c>
      <c r="G196" s="33" t="str">
        <f aca="false">TEXT(E196,"h:mm")&amp;" to "&amp;TEXT(F196,"h:mm")</f>
        <v>15:15 to 15:30</v>
      </c>
      <c r="H196" s="36" t="n">
        <f aca="false">ROUND((F196-E196)*24,2)</f>
        <v>0.25</v>
      </c>
      <c r="I196" s="37" t="s">
        <v>139</v>
      </c>
      <c r="J196" s="38" t="s">
        <v>36</v>
      </c>
      <c r="K196" s="33"/>
      <c r="L196" s="33"/>
      <c r="M196" s="39"/>
    </row>
    <row r="197" customFormat="false" ht="35.05" hidden="false" customHeight="false" outlineLevel="0" collapsed="false">
      <c r="A197" s="33" t="n">
        <v>22</v>
      </c>
      <c r="B197" s="34" t="n">
        <v>46346</v>
      </c>
      <c r="C197" s="33" t="str">
        <f aca="false">TEXT(B197,"dddd")</f>
        <v>Friday</v>
      </c>
      <c r="D197" s="33" t="n">
        <f aca="false">INT((A197-1)/6)+1</f>
        <v>4</v>
      </c>
      <c r="E197" s="35" t="n">
        <v>0.645833333333333</v>
      </c>
      <c r="F197" s="35" t="n">
        <v>0.6875</v>
      </c>
      <c r="G197" s="33" t="str">
        <f aca="false">TEXT(E197,"h:mm")&amp;" to "&amp;TEXT(F197,"h:mm")</f>
        <v>15:30 to 16:30</v>
      </c>
      <c r="H197" s="36" t="n">
        <f aca="false">ROUND((F197-E197)*24,2)</f>
        <v>1</v>
      </c>
      <c r="I197" s="48" t="s">
        <v>164</v>
      </c>
      <c r="J197" s="49" t="s">
        <v>33</v>
      </c>
      <c r="K197" s="33" t="s">
        <v>7</v>
      </c>
      <c r="L197" s="33" t="s">
        <v>21</v>
      </c>
      <c r="M197" s="39" t="s">
        <v>273</v>
      </c>
    </row>
    <row r="198" customFormat="false" ht="15" hidden="false" customHeight="false" outlineLevel="0" collapsed="false">
      <c r="A198" s="33" t="n">
        <v>23</v>
      </c>
      <c r="B198" s="34" t="n">
        <v>46347</v>
      </c>
      <c r="C198" s="33" t="str">
        <f aca="false">TEXT(B198,"dddd")</f>
        <v>Saturday</v>
      </c>
      <c r="D198" s="33" t="n">
        <f aca="false">INT((A198-1)/6)+1</f>
        <v>4</v>
      </c>
      <c r="E198" s="35" t="n">
        <v>0.354166666666667</v>
      </c>
      <c r="F198" s="35" t="n">
        <v>0.375</v>
      </c>
      <c r="G198" s="33" t="str">
        <f aca="false">TEXT(E198,"h:mm")&amp;" to "&amp;TEXT(F198,"h:mm")</f>
        <v>8:30 to 9:00</v>
      </c>
      <c r="H198" s="36" t="n">
        <f aca="false">ROUND((F198-E198)*24,2)</f>
        <v>0.5</v>
      </c>
      <c r="I198" s="42" t="s">
        <v>175</v>
      </c>
      <c r="J198" s="43" t="s">
        <v>34</v>
      </c>
      <c r="K198" s="33"/>
      <c r="L198" s="33"/>
      <c r="M198" s="39" t="s">
        <v>176</v>
      </c>
    </row>
    <row r="199" customFormat="false" ht="15" hidden="false" customHeight="false" outlineLevel="0" collapsed="false">
      <c r="A199" s="33" t="n">
        <v>23</v>
      </c>
      <c r="B199" s="34" t="n">
        <v>46347</v>
      </c>
      <c r="C199" s="33" t="str">
        <f aca="false">TEXT(B199,"dddd")</f>
        <v>Saturday</v>
      </c>
      <c r="D199" s="33" t="n">
        <f aca="false">INT((A199-1)/6)+1</f>
        <v>4</v>
      </c>
      <c r="E199" s="35" t="n">
        <v>0.375</v>
      </c>
      <c r="F199" s="35" t="n">
        <v>0.4375</v>
      </c>
      <c r="G199" s="33" t="str">
        <f aca="false">TEXT(E199,"h:mm")&amp;" to "&amp;TEXT(F199,"h:mm")</f>
        <v>9:00 to 10:30</v>
      </c>
      <c r="H199" s="36" t="n">
        <f aca="false">ROUND((F199-E199)*24,2)</f>
        <v>1.5</v>
      </c>
      <c r="I199" s="44" t="s">
        <v>177</v>
      </c>
      <c r="J199" s="45" t="s">
        <v>31</v>
      </c>
      <c r="K199" s="33" t="s">
        <v>7</v>
      </c>
      <c r="L199" s="33" t="s">
        <v>16</v>
      </c>
      <c r="M199" s="39" t="s">
        <v>274</v>
      </c>
    </row>
    <row r="200" customFormat="false" ht="15" hidden="false" customHeight="false" outlineLevel="0" collapsed="false">
      <c r="A200" s="33" t="n">
        <v>23</v>
      </c>
      <c r="B200" s="34" t="n">
        <v>46347</v>
      </c>
      <c r="C200" s="33" t="str">
        <f aca="false">TEXT(B200,"dddd")</f>
        <v>Saturday</v>
      </c>
      <c r="D200" s="33" t="n">
        <f aca="false">INT((A200-1)/6)+1</f>
        <v>4</v>
      </c>
      <c r="E200" s="35" t="n">
        <v>0.4375</v>
      </c>
      <c r="F200" s="35" t="n">
        <v>0.447916666666667</v>
      </c>
      <c r="G200" s="33" t="str">
        <f aca="false">TEXT(E200,"h:mm")&amp;" to "&amp;TEXT(F200,"h:mm")</f>
        <v>10:30 to 10:45</v>
      </c>
      <c r="H200" s="36" t="n">
        <f aca="false">ROUND((F200-E200)*24,2)</f>
        <v>0.25</v>
      </c>
      <c r="I200" s="37" t="s">
        <v>133</v>
      </c>
      <c r="J200" s="38" t="s">
        <v>36</v>
      </c>
      <c r="K200" s="33"/>
      <c r="L200" s="33"/>
      <c r="M200" s="39"/>
    </row>
    <row r="201" customFormat="false" ht="15" hidden="false" customHeight="false" outlineLevel="0" collapsed="false">
      <c r="A201" s="33" t="n">
        <v>23</v>
      </c>
      <c r="B201" s="34" t="n">
        <v>46347</v>
      </c>
      <c r="C201" s="33" t="str">
        <f aca="false">TEXT(B201,"dddd")</f>
        <v>Saturday</v>
      </c>
      <c r="D201" s="33" t="n">
        <f aca="false">INT((A201-1)/6)+1</f>
        <v>4</v>
      </c>
      <c r="E201" s="35" t="n">
        <v>0.447916666666667</v>
      </c>
      <c r="F201" s="35" t="n">
        <v>0.5</v>
      </c>
      <c r="G201" s="33" t="str">
        <f aca="false">TEXT(E201,"h:mm")&amp;" to "&amp;TEXT(F201,"h:mm")</f>
        <v>10:45 to 12:00</v>
      </c>
      <c r="H201" s="36" t="n">
        <f aca="false">ROUND((F201-E201)*24,2)</f>
        <v>1.25</v>
      </c>
      <c r="I201" s="44" t="s">
        <v>179</v>
      </c>
      <c r="J201" s="45" t="s">
        <v>31</v>
      </c>
      <c r="K201" s="33" t="s">
        <v>7</v>
      </c>
      <c r="L201" s="33" t="s">
        <v>16</v>
      </c>
      <c r="M201" s="39" t="s">
        <v>275</v>
      </c>
    </row>
    <row r="202" customFormat="false" ht="15" hidden="false" customHeight="false" outlineLevel="0" collapsed="false">
      <c r="A202" s="33" t="n">
        <v>23</v>
      </c>
      <c r="B202" s="34" t="n">
        <v>46347</v>
      </c>
      <c r="C202" s="33" t="str">
        <f aca="false">TEXT(B202,"dddd")</f>
        <v>Saturday</v>
      </c>
      <c r="D202" s="33" t="n">
        <f aca="false">INT((A202-1)/6)+1</f>
        <v>4</v>
      </c>
      <c r="E202" s="35" t="n">
        <v>0.5</v>
      </c>
      <c r="F202" s="35" t="n">
        <v>0.541666666666667</v>
      </c>
      <c r="G202" s="33" t="str">
        <f aca="false">TEXT(E202,"h:mm")&amp;" to "&amp;TEXT(F202,"h:mm")</f>
        <v>12:00 to 13:00</v>
      </c>
      <c r="H202" s="36" t="n">
        <f aca="false">ROUND((F202-E202)*24,2)</f>
        <v>1</v>
      </c>
      <c r="I202" s="37" t="s">
        <v>136</v>
      </c>
      <c r="J202" s="38" t="s">
        <v>36</v>
      </c>
      <c r="K202" s="33"/>
      <c r="L202" s="33"/>
      <c r="M202" s="39"/>
    </row>
    <row r="203" customFormat="false" ht="15" hidden="false" customHeight="false" outlineLevel="0" collapsed="false">
      <c r="A203" s="33" t="n">
        <v>23</v>
      </c>
      <c r="B203" s="34" t="n">
        <v>46347</v>
      </c>
      <c r="C203" s="33" t="str">
        <f aca="false">TEXT(B203,"dddd")</f>
        <v>Saturday</v>
      </c>
      <c r="D203" s="33" t="n">
        <f aca="false">INT((A203-1)/6)+1</f>
        <v>4</v>
      </c>
      <c r="E203" s="35" t="n">
        <v>0.541666666666667</v>
      </c>
      <c r="F203" s="35" t="n">
        <v>0.604166666666667</v>
      </c>
      <c r="G203" s="33" t="str">
        <f aca="false">TEXT(E203,"h:mm")&amp;" to "&amp;TEXT(F203,"h:mm")</f>
        <v>13:00 to 14:30</v>
      </c>
      <c r="H203" s="36" t="n">
        <f aca="false">ROUND((F203-E203)*24,2)</f>
        <v>1.5</v>
      </c>
      <c r="I203" s="46" t="s">
        <v>276</v>
      </c>
      <c r="J203" s="47" t="s">
        <v>32</v>
      </c>
      <c r="K203" s="33" t="s">
        <v>8</v>
      </c>
      <c r="L203" s="33" t="s">
        <v>28</v>
      </c>
      <c r="M203" s="39" t="s">
        <v>277</v>
      </c>
    </row>
    <row r="204" customFormat="false" ht="15" hidden="false" customHeight="false" outlineLevel="0" collapsed="false">
      <c r="A204" s="33" t="n">
        <v>23</v>
      </c>
      <c r="B204" s="34" t="n">
        <v>46347</v>
      </c>
      <c r="C204" s="33" t="str">
        <f aca="false">TEXT(B204,"dddd")</f>
        <v>Saturday</v>
      </c>
      <c r="D204" s="33" t="n">
        <f aca="false">INT((A204-1)/6)+1</f>
        <v>4</v>
      </c>
      <c r="E204" s="35" t="n">
        <v>0.604166666666667</v>
      </c>
      <c r="F204" s="35" t="n">
        <v>0.614583333333333</v>
      </c>
      <c r="G204" s="33" t="str">
        <f aca="false">TEXT(E204,"h:mm")&amp;" to "&amp;TEXT(F204,"h:mm")</f>
        <v>14:30 to 14:45</v>
      </c>
      <c r="H204" s="36" t="n">
        <f aca="false">ROUND((F204-E204)*24,2)</f>
        <v>0.25</v>
      </c>
      <c r="I204" s="37" t="s">
        <v>139</v>
      </c>
      <c r="J204" s="38" t="s">
        <v>36</v>
      </c>
      <c r="K204" s="33"/>
      <c r="L204" s="33"/>
      <c r="M204" s="39"/>
    </row>
    <row r="205" customFormat="false" ht="23.85" hidden="false" customHeight="false" outlineLevel="0" collapsed="false">
      <c r="A205" s="33" t="n">
        <v>23</v>
      </c>
      <c r="B205" s="34" t="n">
        <v>46347</v>
      </c>
      <c r="C205" s="33" t="str">
        <f aca="false">TEXT(B205,"dddd")</f>
        <v>Saturday</v>
      </c>
      <c r="D205" s="33" t="n">
        <f aca="false">INT((A205-1)/6)+1</f>
        <v>4</v>
      </c>
      <c r="E205" s="35" t="n">
        <v>0.614583333333333</v>
      </c>
      <c r="F205" s="35" t="n">
        <v>0.645833333333333</v>
      </c>
      <c r="G205" s="33" t="str">
        <f aca="false">TEXT(E205,"h:mm")&amp;" to "&amp;TEXT(F205,"h:mm")</f>
        <v>14:45 to 15:30</v>
      </c>
      <c r="H205" s="36" t="n">
        <f aca="false">ROUND((F205-E205)*24,2)</f>
        <v>0.75</v>
      </c>
      <c r="I205" s="46" t="s">
        <v>278</v>
      </c>
      <c r="J205" s="47" t="s">
        <v>32</v>
      </c>
      <c r="K205" s="33" t="s">
        <v>8</v>
      </c>
      <c r="L205" s="33" t="s">
        <v>28</v>
      </c>
      <c r="M205" s="39"/>
    </row>
    <row r="206" customFormat="false" ht="23.85" hidden="false" customHeight="false" outlineLevel="0" collapsed="false">
      <c r="A206" s="33" t="n">
        <v>23</v>
      </c>
      <c r="B206" s="34" t="n">
        <v>46347</v>
      </c>
      <c r="C206" s="33" t="str">
        <f aca="false">TEXT(B206,"dddd")</f>
        <v>Saturday</v>
      </c>
      <c r="D206" s="33" t="n">
        <f aca="false">INT((A206-1)/6)+1</f>
        <v>4</v>
      </c>
      <c r="E206" s="35" t="n">
        <v>0.645833333333333</v>
      </c>
      <c r="F206" s="35" t="n">
        <v>0.6875</v>
      </c>
      <c r="G206" s="33" t="str">
        <f aca="false">TEXT(E206,"h:mm")&amp;" to "&amp;TEXT(F206,"h:mm")</f>
        <v>15:30 to 16:30</v>
      </c>
      <c r="H206" s="36" t="n">
        <f aca="false">ROUND((F206-E206)*24,2)</f>
        <v>1</v>
      </c>
      <c r="I206" s="48" t="s">
        <v>149</v>
      </c>
      <c r="J206" s="49" t="s">
        <v>33</v>
      </c>
      <c r="K206" s="33" t="s">
        <v>8</v>
      </c>
      <c r="L206" s="33" t="s">
        <v>28</v>
      </c>
      <c r="M206" s="39" t="s">
        <v>279</v>
      </c>
    </row>
    <row r="207" customFormat="false" ht="15" hidden="false" customHeight="false" outlineLevel="0" collapsed="false">
      <c r="A207" s="33" t="n">
        <v>23</v>
      </c>
      <c r="B207" s="34" t="n">
        <v>46347</v>
      </c>
      <c r="C207" s="33" t="str">
        <f aca="false">TEXT(B207,"dddd")</f>
        <v>Saturday</v>
      </c>
      <c r="D207" s="33" t="n">
        <f aca="false">INT((A207-1)/6)+1</f>
        <v>4</v>
      </c>
      <c r="E207" s="35" t="n">
        <v>0.770833333333333</v>
      </c>
      <c r="F207" s="35" t="n">
        <v>0.8125</v>
      </c>
      <c r="G207" s="33" t="str">
        <f aca="false">TEXT(E207,"h:mm")&amp;" to "&amp;TEXT(F207,"h:mm")</f>
        <v>18:30 to 19:30</v>
      </c>
      <c r="H207" s="36" t="n">
        <f aca="false">ROUND((F207-E207)*24,2)</f>
        <v>1</v>
      </c>
      <c r="I207" s="42" t="s">
        <v>280</v>
      </c>
      <c r="J207" s="43" t="s">
        <v>34</v>
      </c>
      <c r="K207" s="33" t="s">
        <v>7</v>
      </c>
      <c r="L207" s="33"/>
      <c r="M207" s="39" t="s">
        <v>143</v>
      </c>
    </row>
    <row r="208" customFormat="false" ht="15" hidden="false" customHeight="false" outlineLevel="0" collapsed="false">
      <c r="A208" s="33" t="n">
        <v>24</v>
      </c>
      <c r="B208" s="34" t="n">
        <v>46348</v>
      </c>
      <c r="C208" s="33" t="str">
        <f aca="false">TEXT(B208,"dddd")</f>
        <v>Sunday</v>
      </c>
      <c r="D208" s="33" t="n">
        <f aca="false">INT((A208-1)/6)+1</f>
        <v>4</v>
      </c>
      <c r="E208" s="35" t="n">
        <v>0.354166666666667</v>
      </c>
      <c r="F208" s="35" t="n">
        <v>0.416666666666667</v>
      </c>
      <c r="G208" s="33" t="str">
        <f aca="false">TEXT(E208,"h:mm")&amp;" to "&amp;TEXT(F208,"h:mm")</f>
        <v>8:30 to 10:00</v>
      </c>
      <c r="H208" s="36" t="n">
        <f aca="false">ROUND((F208-E208)*24,2)</f>
        <v>1.5</v>
      </c>
      <c r="I208" s="46" t="s">
        <v>281</v>
      </c>
      <c r="J208" s="47" t="s">
        <v>32</v>
      </c>
      <c r="K208" s="33" t="s">
        <v>8</v>
      </c>
      <c r="L208" s="33" t="s">
        <v>26</v>
      </c>
      <c r="M208" s="39" t="s">
        <v>277</v>
      </c>
    </row>
    <row r="209" customFormat="false" ht="15" hidden="false" customHeight="false" outlineLevel="0" collapsed="false">
      <c r="A209" s="33" t="n">
        <v>24</v>
      </c>
      <c r="B209" s="34" t="n">
        <v>46348</v>
      </c>
      <c r="C209" s="33" t="str">
        <f aca="false">TEXT(B209,"dddd")</f>
        <v>Sunday</v>
      </c>
      <c r="D209" s="33" t="n">
        <f aca="false">INT((A209-1)/6)+1</f>
        <v>4</v>
      </c>
      <c r="E209" s="35" t="n">
        <v>0.416666666666667</v>
      </c>
      <c r="F209" s="35" t="n">
        <v>0.427083333333333</v>
      </c>
      <c r="G209" s="33" t="str">
        <f aca="false">TEXT(E209,"h:mm")&amp;" to "&amp;TEXT(F209,"h:mm")</f>
        <v>10:00 to 10:15</v>
      </c>
      <c r="H209" s="36" t="n">
        <f aca="false">ROUND((F209-E209)*24,2)</f>
        <v>0.25</v>
      </c>
      <c r="I209" s="37" t="s">
        <v>133</v>
      </c>
      <c r="J209" s="38" t="s">
        <v>36</v>
      </c>
      <c r="K209" s="33"/>
      <c r="L209" s="33"/>
      <c r="M209" s="39"/>
    </row>
    <row r="210" customFormat="false" ht="15" hidden="false" customHeight="false" outlineLevel="0" collapsed="false">
      <c r="A210" s="33" t="n">
        <v>24</v>
      </c>
      <c r="B210" s="34" t="n">
        <v>46348</v>
      </c>
      <c r="C210" s="33" t="str">
        <f aca="false">TEXT(B210,"dddd")</f>
        <v>Sunday</v>
      </c>
      <c r="D210" s="33" t="n">
        <f aca="false">INT((A210-1)/6)+1</f>
        <v>4</v>
      </c>
      <c r="E210" s="35" t="n">
        <v>0.427083333333333</v>
      </c>
      <c r="F210" s="35" t="n">
        <v>0.479166666666667</v>
      </c>
      <c r="G210" s="33" t="str">
        <f aca="false">TEXT(E210,"h:mm")&amp;" to "&amp;TEXT(F210,"h:mm")</f>
        <v>10:15 to 11:30</v>
      </c>
      <c r="H210" s="36" t="n">
        <f aca="false">ROUND((F210-E210)*24,2)</f>
        <v>1.25</v>
      </c>
      <c r="I210" s="46" t="s">
        <v>282</v>
      </c>
      <c r="J210" s="47" t="s">
        <v>32</v>
      </c>
      <c r="K210" s="33" t="s">
        <v>8</v>
      </c>
      <c r="L210" s="33" t="s">
        <v>26</v>
      </c>
      <c r="M210" s="39" t="s">
        <v>277</v>
      </c>
    </row>
    <row r="211" customFormat="false" ht="15" hidden="false" customHeight="false" outlineLevel="0" collapsed="false">
      <c r="A211" s="33" t="n">
        <v>24</v>
      </c>
      <c r="B211" s="34" t="n">
        <v>46348</v>
      </c>
      <c r="C211" s="33" t="str">
        <f aca="false">TEXT(B211,"dddd")</f>
        <v>Sunday</v>
      </c>
      <c r="D211" s="33" t="n">
        <f aca="false">INT((A211-1)/6)+1</f>
        <v>4</v>
      </c>
      <c r="E211" s="35" t="n">
        <v>0.479166666666667</v>
      </c>
      <c r="F211" s="35" t="n">
        <v>0.541666666666667</v>
      </c>
      <c r="G211" s="33" t="str">
        <f aca="false">TEXT(E211,"h:mm")&amp;" to "&amp;TEXT(F211,"h:mm")</f>
        <v>11:30 to 13:00</v>
      </c>
      <c r="H211" s="36" t="n">
        <f aca="false">ROUND((F211-E211)*24,2)</f>
        <v>1.5</v>
      </c>
      <c r="I211" s="37" t="s">
        <v>136</v>
      </c>
      <c r="J211" s="38" t="s">
        <v>36</v>
      </c>
      <c r="K211" s="33"/>
      <c r="L211" s="33"/>
      <c r="M211" s="39"/>
    </row>
    <row r="212" customFormat="false" ht="15" hidden="false" customHeight="false" outlineLevel="0" collapsed="false">
      <c r="A212" s="33" t="n">
        <v>24</v>
      </c>
      <c r="B212" s="34" t="n">
        <v>46348</v>
      </c>
      <c r="C212" s="33" t="str">
        <f aca="false">TEXT(B212,"dddd")</f>
        <v>Sunday</v>
      </c>
      <c r="D212" s="33" t="n">
        <f aca="false">INT((A212-1)/6)+1</f>
        <v>4</v>
      </c>
      <c r="E212" s="35" t="n">
        <v>0.541666666666667</v>
      </c>
      <c r="F212" s="35" t="n">
        <v>0.583333333333333</v>
      </c>
      <c r="G212" s="33" t="str">
        <f aca="false">TEXT(E212,"h:mm")&amp;" to "&amp;TEXT(F212,"h:mm")</f>
        <v>13:00 to 14:00</v>
      </c>
      <c r="H212" s="36" t="n">
        <f aca="false">ROUND((F212-E212)*24,2)</f>
        <v>1</v>
      </c>
      <c r="I212" s="44" t="s">
        <v>191</v>
      </c>
      <c r="J212" s="45" t="s">
        <v>31</v>
      </c>
      <c r="K212" s="33" t="s">
        <v>7</v>
      </c>
      <c r="L212" s="33" t="s">
        <v>21</v>
      </c>
      <c r="M212" s="39" t="s">
        <v>283</v>
      </c>
    </row>
    <row r="213" customFormat="false" ht="15" hidden="false" customHeight="false" outlineLevel="0" collapsed="false">
      <c r="A213" s="33" t="n">
        <v>24</v>
      </c>
      <c r="B213" s="34" t="n">
        <v>46348</v>
      </c>
      <c r="C213" s="33" t="str">
        <f aca="false">TEXT(B213,"dddd")</f>
        <v>Sunday</v>
      </c>
      <c r="D213" s="33" t="n">
        <f aca="false">INT((A213-1)/6)+1</f>
        <v>4</v>
      </c>
      <c r="E213" s="35" t="n">
        <v>0.583333333333333</v>
      </c>
      <c r="F213" s="35" t="n">
        <v>0.59375</v>
      </c>
      <c r="G213" s="33" t="str">
        <f aca="false">TEXT(E213,"h:mm")&amp;" to "&amp;TEXT(F213,"h:mm")</f>
        <v>14:00 to 14:15</v>
      </c>
      <c r="H213" s="36" t="n">
        <f aca="false">ROUND((F213-E213)*24,2)</f>
        <v>0.25</v>
      </c>
      <c r="I213" s="37" t="s">
        <v>139</v>
      </c>
      <c r="J213" s="38" t="s">
        <v>36</v>
      </c>
      <c r="K213" s="33"/>
      <c r="L213" s="33"/>
      <c r="M213" s="39"/>
    </row>
    <row r="214" customFormat="false" ht="15" hidden="false" customHeight="false" outlineLevel="0" collapsed="false">
      <c r="A214" s="33" t="n">
        <v>24</v>
      </c>
      <c r="B214" s="34" t="n">
        <v>46348</v>
      </c>
      <c r="C214" s="33" t="str">
        <f aca="false">TEXT(B214,"dddd")</f>
        <v>Sunday</v>
      </c>
      <c r="D214" s="33" t="n">
        <f aca="false">INT((A214-1)/6)+1</f>
        <v>4</v>
      </c>
      <c r="E214" s="35" t="n">
        <v>0.59375</v>
      </c>
      <c r="F214" s="35" t="n">
        <v>0.635416666666667</v>
      </c>
      <c r="G214" s="33" t="str">
        <f aca="false">TEXT(E214,"h:mm")&amp;" to "&amp;TEXT(F214,"h:mm")</f>
        <v>14:15 to 15:15</v>
      </c>
      <c r="H214" s="36" t="n">
        <f aca="false">ROUND((F214-E214)*24,2)</f>
        <v>1</v>
      </c>
      <c r="I214" s="44" t="s">
        <v>193</v>
      </c>
      <c r="J214" s="45" t="s">
        <v>31</v>
      </c>
      <c r="K214" s="33" t="s">
        <v>7</v>
      </c>
      <c r="L214" s="33" t="s">
        <v>21</v>
      </c>
      <c r="M214" s="39" t="s">
        <v>284</v>
      </c>
    </row>
    <row r="215" customFormat="false" ht="15" hidden="false" customHeight="false" outlineLevel="0" collapsed="false">
      <c r="A215" s="33" t="n">
        <v>24</v>
      </c>
      <c r="B215" s="34" t="n">
        <v>46348</v>
      </c>
      <c r="C215" s="33" t="str">
        <f aca="false">TEXT(B215,"dddd")</f>
        <v>Sunday</v>
      </c>
      <c r="D215" s="33" t="n">
        <f aca="false">INT((A215-1)/6)+1</f>
        <v>4</v>
      </c>
      <c r="E215" s="35" t="n">
        <v>0.635416666666667</v>
      </c>
      <c r="F215" s="35" t="n">
        <v>0.645833333333333</v>
      </c>
      <c r="G215" s="33" t="str">
        <f aca="false">TEXT(E215,"h:mm")&amp;" to "&amp;TEXT(F215,"h:mm")</f>
        <v>15:15 to 15:30</v>
      </c>
      <c r="H215" s="36" t="n">
        <f aca="false">ROUND((F215-E215)*24,2)</f>
        <v>0.25</v>
      </c>
      <c r="I215" s="37" t="s">
        <v>139</v>
      </c>
      <c r="J215" s="38" t="s">
        <v>36</v>
      </c>
      <c r="K215" s="33"/>
      <c r="L215" s="33"/>
      <c r="M215" s="39"/>
    </row>
    <row r="216" customFormat="false" ht="35.05" hidden="false" customHeight="false" outlineLevel="0" collapsed="false">
      <c r="A216" s="33" t="n">
        <v>24</v>
      </c>
      <c r="B216" s="34" t="n">
        <v>46348</v>
      </c>
      <c r="C216" s="33" t="str">
        <f aca="false">TEXT(B216,"dddd")</f>
        <v>Sunday</v>
      </c>
      <c r="D216" s="33" t="n">
        <f aca="false">INT((A216-1)/6)+1</f>
        <v>4</v>
      </c>
      <c r="E216" s="35" t="n">
        <v>0.645833333333333</v>
      </c>
      <c r="F216" s="35" t="n">
        <v>0.6875</v>
      </c>
      <c r="G216" s="33" t="str">
        <f aca="false">TEXT(E216,"h:mm")&amp;" to "&amp;TEXT(F216,"h:mm")</f>
        <v>15:30 to 16:30</v>
      </c>
      <c r="H216" s="36" t="n">
        <f aca="false">ROUND((F216-E216)*24,2)</f>
        <v>1</v>
      </c>
      <c r="I216" s="48" t="s">
        <v>164</v>
      </c>
      <c r="J216" s="49" t="s">
        <v>33</v>
      </c>
      <c r="K216" s="33" t="s">
        <v>7</v>
      </c>
      <c r="L216" s="33" t="s">
        <v>21</v>
      </c>
      <c r="M216" s="39" t="s">
        <v>285</v>
      </c>
    </row>
    <row r="217" customFormat="false" ht="15" hidden="false" customHeight="false" outlineLevel="0" collapsed="false">
      <c r="A217" s="33" t="n">
        <v>25</v>
      </c>
      <c r="B217" s="34" t="n">
        <v>46349</v>
      </c>
      <c r="C217" s="33" t="str">
        <f aca="false">TEXT(B217,"dddd")</f>
        <v>Monday</v>
      </c>
      <c r="D217" s="33" t="n">
        <f aca="false">INT((A217-1)/6)+1</f>
        <v>5</v>
      </c>
      <c r="E217" s="35" t="n">
        <v>0.354166666666667</v>
      </c>
      <c r="F217" s="35" t="n">
        <v>0.416666666666667</v>
      </c>
      <c r="G217" s="33" t="str">
        <f aca="false">TEXT(E217,"h:mm")&amp;" to "&amp;TEXT(F217,"h:mm")</f>
        <v>8:30 to 10:00</v>
      </c>
      <c r="H217" s="36" t="n">
        <f aca="false">ROUND((F217-E217)*24,2)</f>
        <v>1.5</v>
      </c>
      <c r="I217" s="46" t="s">
        <v>286</v>
      </c>
      <c r="J217" s="47" t="s">
        <v>32</v>
      </c>
      <c r="K217" s="33" t="s">
        <v>8</v>
      </c>
      <c r="L217" s="33" t="s">
        <v>26</v>
      </c>
      <c r="M217" s="39" t="s">
        <v>277</v>
      </c>
    </row>
    <row r="218" customFormat="false" ht="15" hidden="false" customHeight="false" outlineLevel="0" collapsed="false">
      <c r="A218" s="33" t="n">
        <v>25</v>
      </c>
      <c r="B218" s="34" t="n">
        <v>46349</v>
      </c>
      <c r="C218" s="33" t="str">
        <f aca="false">TEXT(B218,"dddd")</f>
        <v>Monday</v>
      </c>
      <c r="D218" s="33" t="n">
        <f aca="false">INT((A218-1)/6)+1</f>
        <v>5</v>
      </c>
      <c r="E218" s="35" t="n">
        <v>0.416666666666667</v>
      </c>
      <c r="F218" s="35" t="n">
        <v>0.427083333333333</v>
      </c>
      <c r="G218" s="33" t="str">
        <f aca="false">TEXT(E218,"h:mm")&amp;" to "&amp;TEXT(F218,"h:mm")</f>
        <v>10:00 to 10:15</v>
      </c>
      <c r="H218" s="36" t="n">
        <f aca="false">ROUND((F218-E218)*24,2)</f>
        <v>0.25</v>
      </c>
      <c r="I218" s="37" t="s">
        <v>133</v>
      </c>
      <c r="J218" s="38" t="s">
        <v>36</v>
      </c>
      <c r="K218" s="33"/>
      <c r="L218" s="33"/>
      <c r="M218" s="39"/>
    </row>
    <row r="219" customFormat="false" ht="23.85" hidden="false" customHeight="false" outlineLevel="0" collapsed="false">
      <c r="A219" s="33" t="n">
        <v>25</v>
      </c>
      <c r="B219" s="34" t="n">
        <v>46349</v>
      </c>
      <c r="C219" s="33" t="str">
        <f aca="false">TEXT(B219,"dddd")</f>
        <v>Monday</v>
      </c>
      <c r="D219" s="33" t="n">
        <f aca="false">INT((A219-1)/6)+1</f>
        <v>5</v>
      </c>
      <c r="E219" s="35" t="n">
        <v>0.427083333333333</v>
      </c>
      <c r="F219" s="35" t="n">
        <v>0.479166666666667</v>
      </c>
      <c r="G219" s="33" t="str">
        <f aca="false">TEXT(E219,"h:mm")&amp;" to "&amp;TEXT(F219,"h:mm")</f>
        <v>10:15 to 11:30</v>
      </c>
      <c r="H219" s="36" t="n">
        <f aca="false">ROUND((F219-E219)*24,2)</f>
        <v>1.25</v>
      </c>
      <c r="I219" s="46" t="s">
        <v>287</v>
      </c>
      <c r="J219" s="47" t="s">
        <v>32</v>
      </c>
      <c r="K219" s="33" t="s">
        <v>8</v>
      </c>
      <c r="L219" s="33" t="s">
        <v>26</v>
      </c>
      <c r="M219" s="39" t="s">
        <v>277</v>
      </c>
    </row>
    <row r="220" customFormat="false" ht="15" hidden="false" customHeight="false" outlineLevel="0" collapsed="false">
      <c r="A220" s="33" t="n">
        <v>25</v>
      </c>
      <c r="B220" s="34" t="n">
        <v>46349</v>
      </c>
      <c r="C220" s="33" t="str">
        <f aca="false">TEXT(B220,"dddd")</f>
        <v>Monday</v>
      </c>
      <c r="D220" s="33" t="n">
        <f aca="false">INT((A220-1)/6)+1</f>
        <v>5</v>
      </c>
      <c r="E220" s="35" t="n">
        <v>0.479166666666667</v>
      </c>
      <c r="F220" s="35" t="n">
        <v>0.541666666666667</v>
      </c>
      <c r="G220" s="33" t="str">
        <f aca="false">TEXT(E220,"h:mm")&amp;" to "&amp;TEXT(F220,"h:mm")</f>
        <v>11:30 to 13:00</v>
      </c>
      <c r="H220" s="36" t="n">
        <f aca="false">ROUND((F220-E220)*24,2)</f>
        <v>1.5</v>
      </c>
      <c r="I220" s="37" t="s">
        <v>136</v>
      </c>
      <c r="J220" s="38" t="s">
        <v>36</v>
      </c>
      <c r="K220" s="33"/>
      <c r="L220" s="33"/>
      <c r="M220" s="39"/>
    </row>
    <row r="221" customFormat="false" ht="23.85" hidden="false" customHeight="false" outlineLevel="0" collapsed="false">
      <c r="A221" s="33" t="n">
        <v>25</v>
      </c>
      <c r="B221" s="34" t="n">
        <v>46349</v>
      </c>
      <c r="C221" s="33" t="str">
        <f aca="false">TEXT(B221,"dddd")</f>
        <v>Monday</v>
      </c>
      <c r="D221" s="33" t="n">
        <f aca="false">INT((A221-1)/6)+1</f>
        <v>5</v>
      </c>
      <c r="E221" s="35" t="n">
        <v>0.541666666666667</v>
      </c>
      <c r="F221" s="35" t="n">
        <v>0.583333333333333</v>
      </c>
      <c r="G221" s="33" t="str">
        <f aca="false">TEXT(E221,"h:mm")&amp;" to "&amp;TEXT(F221,"h:mm")</f>
        <v>13:00 to 14:00</v>
      </c>
      <c r="H221" s="36" t="n">
        <f aca="false">ROUND((F221-E221)*24,2)</f>
        <v>1</v>
      </c>
      <c r="I221" s="44" t="s">
        <v>191</v>
      </c>
      <c r="J221" s="45" t="s">
        <v>31</v>
      </c>
      <c r="K221" s="33" t="s">
        <v>7</v>
      </c>
      <c r="L221" s="33" t="s">
        <v>21</v>
      </c>
      <c r="M221" s="39" t="s">
        <v>288</v>
      </c>
    </row>
    <row r="222" customFormat="false" ht="15" hidden="false" customHeight="false" outlineLevel="0" collapsed="false">
      <c r="A222" s="33" t="n">
        <v>25</v>
      </c>
      <c r="B222" s="34" t="n">
        <v>46349</v>
      </c>
      <c r="C222" s="33" t="str">
        <f aca="false">TEXT(B222,"dddd")</f>
        <v>Monday</v>
      </c>
      <c r="D222" s="33" t="n">
        <f aca="false">INT((A222-1)/6)+1</f>
        <v>5</v>
      </c>
      <c r="E222" s="35" t="n">
        <v>0.583333333333333</v>
      </c>
      <c r="F222" s="35" t="n">
        <v>0.59375</v>
      </c>
      <c r="G222" s="33" t="str">
        <f aca="false">TEXT(E222,"h:mm")&amp;" to "&amp;TEXT(F222,"h:mm")</f>
        <v>14:00 to 14:15</v>
      </c>
      <c r="H222" s="36" t="n">
        <f aca="false">ROUND((F222-E222)*24,2)</f>
        <v>0.25</v>
      </c>
      <c r="I222" s="37" t="s">
        <v>139</v>
      </c>
      <c r="J222" s="38" t="s">
        <v>36</v>
      </c>
      <c r="K222" s="33"/>
      <c r="L222" s="33"/>
      <c r="M222" s="39"/>
    </row>
    <row r="223" customFormat="false" ht="15" hidden="false" customHeight="false" outlineLevel="0" collapsed="false">
      <c r="A223" s="33" t="n">
        <v>25</v>
      </c>
      <c r="B223" s="34" t="n">
        <v>46349</v>
      </c>
      <c r="C223" s="33" t="str">
        <f aca="false">TEXT(B223,"dddd")</f>
        <v>Monday</v>
      </c>
      <c r="D223" s="33" t="n">
        <f aca="false">INT((A223-1)/6)+1</f>
        <v>5</v>
      </c>
      <c r="E223" s="35" t="n">
        <v>0.59375</v>
      </c>
      <c r="F223" s="35" t="n">
        <v>0.635416666666667</v>
      </c>
      <c r="G223" s="33" t="str">
        <f aca="false">TEXT(E223,"h:mm")&amp;" to "&amp;TEXT(F223,"h:mm")</f>
        <v>14:15 to 15:15</v>
      </c>
      <c r="H223" s="36" t="n">
        <f aca="false">ROUND((F223-E223)*24,2)</f>
        <v>1</v>
      </c>
      <c r="I223" s="44" t="s">
        <v>193</v>
      </c>
      <c r="J223" s="45" t="s">
        <v>31</v>
      </c>
      <c r="K223" s="33" t="s">
        <v>7</v>
      </c>
      <c r="L223" s="33" t="s">
        <v>21</v>
      </c>
      <c r="M223" s="39" t="s">
        <v>289</v>
      </c>
    </row>
    <row r="224" customFormat="false" ht="15" hidden="false" customHeight="false" outlineLevel="0" collapsed="false">
      <c r="A224" s="33" t="n">
        <v>25</v>
      </c>
      <c r="B224" s="34" t="n">
        <v>46349</v>
      </c>
      <c r="C224" s="33" t="str">
        <f aca="false">TEXT(B224,"dddd")</f>
        <v>Monday</v>
      </c>
      <c r="D224" s="33" t="n">
        <f aca="false">INT((A224-1)/6)+1</f>
        <v>5</v>
      </c>
      <c r="E224" s="35" t="n">
        <v>0.635416666666667</v>
      </c>
      <c r="F224" s="35" t="n">
        <v>0.645833333333333</v>
      </c>
      <c r="G224" s="33" t="str">
        <f aca="false">TEXT(E224,"h:mm")&amp;" to "&amp;TEXT(F224,"h:mm")</f>
        <v>15:15 to 15:30</v>
      </c>
      <c r="H224" s="36" t="n">
        <f aca="false">ROUND((F224-E224)*24,2)</f>
        <v>0.25</v>
      </c>
      <c r="I224" s="37" t="s">
        <v>139</v>
      </c>
      <c r="J224" s="38" t="s">
        <v>36</v>
      </c>
      <c r="K224" s="33"/>
      <c r="L224" s="33"/>
      <c r="M224" s="39"/>
    </row>
    <row r="225" customFormat="false" ht="35.05" hidden="false" customHeight="false" outlineLevel="0" collapsed="false">
      <c r="A225" s="33" t="n">
        <v>25</v>
      </c>
      <c r="B225" s="34" t="n">
        <v>46349</v>
      </c>
      <c r="C225" s="33" t="str">
        <f aca="false">TEXT(B225,"dddd")</f>
        <v>Monday</v>
      </c>
      <c r="D225" s="33" t="n">
        <f aca="false">INT((A225-1)/6)+1</f>
        <v>5</v>
      </c>
      <c r="E225" s="35" t="n">
        <v>0.645833333333333</v>
      </c>
      <c r="F225" s="35" t="n">
        <v>0.6875</v>
      </c>
      <c r="G225" s="33" t="str">
        <f aca="false">TEXT(E225,"h:mm")&amp;" to "&amp;TEXT(F225,"h:mm")</f>
        <v>15:30 to 16:30</v>
      </c>
      <c r="H225" s="36" t="n">
        <f aca="false">ROUND((F225-E225)*24,2)</f>
        <v>1</v>
      </c>
      <c r="I225" s="48" t="s">
        <v>164</v>
      </c>
      <c r="J225" s="49" t="s">
        <v>33</v>
      </c>
      <c r="K225" s="33" t="s">
        <v>7</v>
      </c>
      <c r="L225" s="33" t="s">
        <v>21</v>
      </c>
      <c r="M225" s="39" t="s">
        <v>290</v>
      </c>
    </row>
    <row r="226" customFormat="false" ht="15" hidden="false" customHeight="false" outlineLevel="0" collapsed="false">
      <c r="A226" s="33" t="n">
        <v>26</v>
      </c>
      <c r="B226" s="34" t="n">
        <v>46350</v>
      </c>
      <c r="C226" s="33" t="str">
        <f aca="false">TEXT(B226,"dddd")</f>
        <v>Tuesday</v>
      </c>
      <c r="D226" s="33" t="n">
        <f aca="false">INT((A226-1)/6)+1</f>
        <v>5</v>
      </c>
      <c r="E226" s="35" t="n">
        <v>0.354166666666667</v>
      </c>
      <c r="F226" s="35" t="n">
        <v>0.416666666666667</v>
      </c>
      <c r="G226" s="33" t="str">
        <f aca="false">TEXT(E226,"h:mm")&amp;" to "&amp;TEXT(F226,"h:mm")</f>
        <v>8:30 to 10:00</v>
      </c>
      <c r="H226" s="36" t="n">
        <f aca="false">ROUND((F226-E226)*24,2)</f>
        <v>1.5</v>
      </c>
      <c r="I226" s="46" t="s">
        <v>291</v>
      </c>
      <c r="J226" s="47" t="s">
        <v>32</v>
      </c>
      <c r="K226" s="33" t="s">
        <v>8</v>
      </c>
      <c r="L226" s="33" t="s">
        <v>26</v>
      </c>
      <c r="M226" s="39" t="s">
        <v>277</v>
      </c>
    </row>
    <row r="227" customFormat="false" ht="15" hidden="false" customHeight="false" outlineLevel="0" collapsed="false">
      <c r="A227" s="33" t="n">
        <v>26</v>
      </c>
      <c r="B227" s="34" t="n">
        <v>46350</v>
      </c>
      <c r="C227" s="33" t="str">
        <f aca="false">TEXT(B227,"dddd")</f>
        <v>Tuesday</v>
      </c>
      <c r="D227" s="33" t="n">
        <f aca="false">INT((A227-1)/6)+1</f>
        <v>5</v>
      </c>
      <c r="E227" s="35" t="n">
        <v>0.416666666666667</v>
      </c>
      <c r="F227" s="35" t="n">
        <v>0.427083333333333</v>
      </c>
      <c r="G227" s="33" t="str">
        <f aca="false">TEXT(E227,"h:mm")&amp;" to "&amp;TEXT(F227,"h:mm")</f>
        <v>10:00 to 10:15</v>
      </c>
      <c r="H227" s="36" t="n">
        <f aca="false">ROUND((F227-E227)*24,2)</f>
        <v>0.25</v>
      </c>
      <c r="I227" s="37" t="s">
        <v>133</v>
      </c>
      <c r="J227" s="38" t="s">
        <v>36</v>
      </c>
      <c r="K227" s="33"/>
      <c r="L227" s="33"/>
      <c r="M227" s="39"/>
    </row>
    <row r="228" customFormat="false" ht="23.85" hidden="false" customHeight="false" outlineLevel="0" collapsed="false">
      <c r="A228" s="33" t="n">
        <v>26</v>
      </c>
      <c r="B228" s="34" t="n">
        <v>46350</v>
      </c>
      <c r="C228" s="33" t="str">
        <f aca="false">TEXT(B228,"dddd")</f>
        <v>Tuesday</v>
      </c>
      <c r="D228" s="33" t="n">
        <f aca="false">INT((A228-1)/6)+1</f>
        <v>5</v>
      </c>
      <c r="E228" s="35" t="n">
        <v>0.427083333333333</v>
      </c>
      <c r="F228" s="35" t="n">
        <v>0.479166666666667</v>
      </c>
      <c r="G228" s="33" t="str">
        <f aca="false">TEXT(E228,"h:mm")&amp;" to "&amp;TEXT(F228,"h:mm")</f>
        <v>10:15 to 11:30</v>
      </c>
      <c r="H228" s="36" t="n">
        <f aca="false">ROUND((F228-E228)*24,2)</f>
        <v>1.25</v>
      </c>
      <c r="I228" s="46" t="s">
        <v>292</v>
      </c>
      <c r="J228" s="47" t="s">
        <v>32</v>
      </c>
      <c r="K228" s="33" t="s">
        <v>8</v>
      </c>
      <c r="L228" s="33" t="s">
        <v>26</v>
      </c>
      <c r="M228" s="39" t="s">
        <v>277</v>
      </c>
    </row>
    <row r="229" customFormat="false" ht="15" hidden="false" customHeight="false" outlineLevel="0" collapsed="false">
      <c r="A229" s="33" t="n">
        <v>26</v>
      </c>
      <c r="B229" s="34" t="n">
        <v>46350</v>
      </c>
      <c r="C229" s="33" t="str">
        <f aca="false">TEXT(B229,"dddd")</f>
        <v>Tuesday</v>
      </c>
      <c r="D229" s="33" t="n">
        <f aca="false">INT((A229-1)/6)+1</f>
        <v>5</v>
      </c>
      <c r="E229" s="35" t="n">
        <v>0.479166666666667</v>
      </c>
      <c r="F229" s="35" t="n">
        <v>0.541666666666667</v>
      </c>
      <c r="G229" s="33" t="str">
        <f aca="false">TEXT(E229,"h:mm")&amp;" to "&amp;TEXT(F229,"h:mm")</f>
        <v>11:30 to 13:00</v>
      </c>
      <c r="H229" s="36" t="n">
        <f aca="false">ROUND((F229-E229)*24,2)</f>
        <v>1.5</v>
      </c>
      <c r="I229" s="37" t="s">
        <v>136</v>
      </c>
      <c r="J229" s="38" t="s">
        <v>36</v>
      </c>
      <c r="K229" s="33"/>
      <c r="L229" s="33"/>
      <c r="M229" s="39"/>
    </row>
    <row r="230" customFormat="false" ht="23.85" hidden="false" customHeight="false" outlineLevel="0" collapsed="false">
      <c r="A230" s="33" t="n">
        <v>26</v>
      </c>
      <c r="B230" s="34" t="n">
        <v>46350</v>
      </c>
      <c r="C230" s="33" t="str">
        <f aca="false">TEXT(B230,"dddd")</f>
        <v>Tuesday</v>
      </c>
      <c r="D230" s="33" t="n">
        <f aca="false">INT((A230-1)/6)+1</f>
        <v>5</v>
      </c>
      <c r="E230" s="35" t="n">
        <v>0.541666666666667</v>
      </c>
      <c r="F230" s="35" t="n">
        <v>0.604166666666667</v>
      </c>
      <c r="G230" s="33" t="str">
        <f aca="false">TEXT(E230,"h:mm")&amp;" to "&amp;TEXT(F230,"h:mm")</f>
        <v>13:00 to 14:30</v>
      </c>
      <c r="H230" s="36" t="n">
        <f aca="false">ROUND((F230-E230)*24,2)</f>
        <v>1.5</v>
      </c>
      <c r="I230" s="44" t="s">
        <v>249</v>
      </c>
      <c r="J230" s="45" t="s">
        <v>31</v>
      </c>
      <c r="K230" s="33" t="s">
        <v>7</v>
      </c>
      <c r="L230" s="33" t="s">
        <v>21</v>
      </c>
      <c r="M230" s="39" t="s">
        <v>293</v>
      </c>
    </row>
    <row r="231" customFormat="false" ht="35.05" hidden="false" customHeight="false" outlineLevel="0" collapsed="false">
      <c r="A231" s="33" t="n">
        <v>26</v>
      </c>
      <c r="B231" s="34" t="n">
        <v>46350</v>
      </c>
      <c r="C231" s="33" t="str">
        <f aca="false">TEXT(B231,"dddd")</f>
        <v>Tuesday</v>
      </c>
      <c r="D231" s="33" t="n">
        <f aca="false">INT((A231-1)/6)+1</f>
        <v>5</v>
      </c>
      <c r="E231" s="35" t="n">
        <v>0.541666666666667</v>
      </c>
      <c r="F231" s="35" t="n">
        <v>0.6875</v>
      </c>
      <c r="G231" s="33" t="str">
        <f aca="false">TEXT(E231,"h:mm")&amp;" to "&amp;TEXT(F231,"h:mm")</f>
        <v>13:00 to 16:30</v>
      </c>
      <c r="H231" s="36" t="n">
        <f aca="false">ROUND((F231-E231)*24,2)</f>
        <v>3.5</v>
      </c>
      <c r="I231" s="40" t="s">
        <v>294</v>
      </c>
      <c r="J231" s="41" t="s">
        <v>35</v>
      </c>
      <c r="K231" s="33" t="s">
        <v>7</v>
      </c>
      <c r="L231" s="33" t="s">
        <v>19</v>
      </c>
      <c r="M231" s="39" t="s">
        <v>217</v>
      </c>
    </row>
    <row r="232" customFormat="false" ht="15" hidden="false" customHeight="false" outlineLevel="0" collapsed="false">
      <c r="A232" s="33" t="n">
        <v>26</v>
      </c>
      <c r="B232" s="34" t="n">
        <v>46350</v>
      </c>
      <c r="C232" s="33" t="str">
        <f aca="false">TEXT(B232,"dddd")</f>
        <v>Tuesday</v>
      </c>
      <c r="D232" s="33" t="n">
        <f aca="false">INT((A232-1)/6)+1</f>
        <v>5</v>
      </c>
      <c r="E232" s="35" t="n">
        <v>0.604166666666667</v>
      </c>
      <c r="F232" s="35" t="n">
        <v>0.614583333333333</v>
      </c>
      <c r="G232" s="33" t="str">
        <f aca="false">TEXT(E232,"h:mm")&amp;" to "&amp;TEXT(F232,"h:mm")</f>
        <v>14:30 to 14:45</v>
      </c>
      <c r="H232" s="36" t="n">
        <f aca="false">ROUND((F232-E232)*24,2)</f>
        <v>0.25</v>
      </c>
      <c r="I232" s="37" t="s">
        <v>139</v>
      </c>
      <c r="J232" s="38" t="s">
        <v>36</v>
      </c>
      <c r="K232" s="33"/>
      <c r="L232" s="33"/>
      <c r="M232" s="39"/>
    </row>
    <row r="233" customFormat="false" ht="15" hidden="false" customHeight="false" outlineLevel="0" collapsed="false">
      <c r="A233" s="33" t="n">
        <v>26</v>
      </c>
      <c r="B233" s="34" t="n">
        <v>46350</v>
      </c>
      <c r="C233" s="33" t="str">
        <f aca="false">TEXT(B233,"dddd")</f>
        <v>Tuesday</v>
      </c>
      <c r="D233" s="33" t="n">
        <f aca="false">INT((A233-1)/6)+1</f>
        <v>5</v>
      </c>
      <c r="E233" s="35" t="n">
        <v>0.614583333333333</v>
      </c>
      <c r="F233" s="35" t="n">
        <v>0.645833333333333</v>
      </c>
      <c r="G233" s="33" t="str">
        <f aca="false">TEXT(E233,"h:mm")&amp;" to "&amp;TEXT(F233,"h:mm")</f>
        <v>14:45 to 15:30</v>
      </c>
      <c r="H233" s="36" t="n">
        <f aca="false">ROUND((F233-E233)*24,2)</f>
        <v>0.75</v>
      </c>
      <c r="I233" s="44" t="s">
        <v>251</v>
      </c>
      <c r="J233" s="45" t="s">
        <v>31</v>
      </c>
      <c r="K233" s="33" t="s">
        <v>7</v>
      </c>
      <c r="L233" s="33" t="s">
        <v>21</v>
      </c>
      <c r="M233" s="39"/>
    </row>
    <row r="234" customFormat="false" ht="15" hidden="false" customHeight="false" outlineLevel="0" collapsed="false">
      <c r="A234" s="33" t="n">
        <v>26</v>
      </c>
      <c r="B234" s="34" t="n">
        <v>46350</v>
      </c>
      <c r="C234" s="33" t="str">
        <f aca="false">TEXT(B234,"dddd")</f>
        <v>Tuesday</v>
      </c>
      <c r="D234" s="33" t="n">
        <f aca="false">INT((A234-1)/6)+1</f>
        <v>5</v>
      </c>
      <c r="E234" s="35" t="n">
        <v>0.645833333333333</v>
      </c>
      <c r="F234" s="35" t="n">
        <v>0.6875</v>
      </c>
      <c r="G234" s="33" t="str">
        <f aca="false">TEXT(E234,"h:mm")&amp;" to "&amp;TEXT(F234,"h:mm")</f>
        <v>15:30 to 16:30</v>
      </c>
      <c r="H234" s="36" t="n">
        <f aca="false">ROUND((F234-E234)*24,2)</f>
        <v>1</v>
      </c>
      <c r="I234" s="48" t="s">
        <v>164</v>
      </c>
      <c r="J234" s="49" t="s">
        <v>33</v>
      </c>
      <c r="K234" s="33" t="s">
        <v>7</v>
      </c>
      <c r="L234" s="33" t="s">
        <v>21</v>
      </c>
      <c r="M234" s="39" t="s">
        <v>252</v>
      </c>
    </row>
    <row r="235" customFormat="false" ht="15" hidden="false" customHeight="false" outlineLevel="0" collapsed="false">
      <c r="A235" s="33" t="n">
        <v>27</v>
      </c>
      <c r="B235" s="34" t="n">
        <v>46351</v>
      </c>
      <c r="C235" s="33" t="str">
        <f aca="false">TEXT(B235,"dddd")</f>
        <v>Wednesday</v>
      </c>
      <c r="D235" s="33" t="n">
        <f aca="false">INT((A235-1)/6)+1</f>
        <v>5</v>
      </c>
      <c r="E235" s="35" t="n">
        <v>0.354166666666667</v>
      </c>
      <c r="F235" s="35" t="n">
        <v>0.375</v>
      </c>
      <c r="G235" s="33" t="str">
        <f aca="false">TEXT(E235,"h:mm")&amp;" to "&amp;TEXT(F235,"h:mm")</f>
        <v>8:30 to 9:00</v>
      </c>
      <c r="H235" s="36" t="n">
        <f aca="false">ROUND((F235-E235)*24,2)</f>
        <v>0.5</v>
      </c>
      <c r="I235" s="42" t="s">
        <v>175</v>
      </c>
      <c r="J235" s="43" t="s">
        <v>34</v>
      </c>
      <c r="K235" s="33"/>
      <c r="L235" s="33"/>
      <c r="M235" s="39" t="s">
        <v>176</v>
      </c>
    </row>
    <row r="236" customFormat="false" ht="23.85" hidden="false" customHeight="false" outlineLevel="0" collapsed="false">
      <c r="A236" s="33" t="n">
        <v>27</v>
      </c>
      <c r="B236" s="34" t="n">
        <v>46351</v>
      </c>
      <c r="C236" s="33" t="str">
        <f aca="false">TEXT(B236,"dddd")</f>
        <v>Wednesday</v>
      </c>
      <c r="D236" s="33" t="n">
        <f aca="false">INT((A236-1)/6)+1</f>
        <v>5</v>
      </c>
      <c r="E236" s="35" t="n">
        <v>0.375</v>
      </c>
      <c r="F236" s="35" t="n">
        <v>0.4375</v>
      </c>
      <c r="G236" s="33" t="str">
        <f aca="false">TEXT(E236,"h:mm")&amp;" to "&amp;TEXT(F236,"h:mm")</f>
        <v>9:00 to 10:30</v>
      </c>
      <c r="H236" s="36" t="n">
        <f aca="false">ROUND((F236-E236)*24,2)</f>
        <v>1.5</v>
      </c>
      <c r="I236" s="44" t="s">
        <v>177</v>
      </c>
      <c r="J236" s="45" t="s">
        <v>31</v>
      </c>
      <c r="K236" s="33" t="s">
        <v>7</v>
      </c>
      <c r="L236" s="33" t="s">
        <v>16</v>
      </c>
      <c r="M236" s="39" t="s">
        <v>295</v>
      </c>
    </row>
    <row r="237" customFormat="false" ht="15" hidden="false" customHeight="false" outlineLevel="0" collapsed="false">
      <c r="A237" s="33" t="n">
        <v>27</v>
      </c>
      <c r="B237" s="34" t="n">
        <v>46351</v>
      </c>
      <c r="C237" s="33" t="str">
        <f aca="false">TEXT(B237,"dddd")</f>
        <v>Wednesday</v>
      </c>
      <c r="D237" s="33" t="n">
        <f aca="false">INT((A237-1)/6)+1</f>
        <v>5</v>
      </c>
      <c r="E237" s="35" t="n">
        <v>0.4375</v>
      </c>
      <c r="F237" s="35" t="n">
        <v>0.447916666666667</v>
      </c>
      <c r="G237" s="33" t="str">
        <f aca="false">TEXT(E237,"h:mm")&amp;" to "&amp;TEXT(F237,"h:mm")</f>
        <v>10:30 to 10:45</v>
      </c>
      <c r="H237" s="36" t="n">
        <f aca="false">ROUND((F237-E237)*24,2)</f>
        <v>0.25</v>
      </c>
      <c r="I237" s="37" t="s">
        <v>133</v>
      </c>
      <c r="J237" s="38" t="s">
        <v>36</v>
      </c>
      <c r="K237" s="33"/>
      <c r="L237" s="33"/>
      <c r="M237" s="39"/>
    </row>
    <row r="238" customFormat="false" ht="15" hidden="false" customHeight="false" outlineLevel="0" collapsed="false">
      <c r="A238" s="33" t="n">
        <v>27</v>
      </c>
      <c r="B238" s="34" t="n">
        <v>46351</v>
      </c>
      <c r="C238" s="33" t="str">
        <f aca="false">TEXT(B238,"dddd")</f>
        <v>Wednesday</v>
      </c>
      <c r="D238" s="33" t="n">
        <f aca="false">INT((A238-1)/6)+1</f>
        <v>5</v>
      </c>
      <c r="E238" s="35" t="n">
        <v>0.447916666666667</v>
      </c>
      <c r="F238" s="35" t="n">
        <v>0.5</v>
      </c>
      <c r="G238" s="33" t="str">
        <f aca="false">TEXT(E238,"h:mm")&amp;" to "&amp;TEXT(F238,"h:mm")</f>
        <v>10:45 to 12:00</v>
      </c>
      <c r="H238" s="36" t="n">
        <f aca="false">ROUND((F238-E238)*24,2)</f>
        <v>1.25</v>
      </c>
      <c r="I238" s="44" t="s">
        <v>179</v>
      </c>
      <c r="J238" s="45" t="s">
        <v>31</v>
      </c>
      <c r="K238" s="33" t="s">
        <v>7</v>
      </c>
      <c r="L238" s="33" t="s">
        <v>16</v>
      </c>
      <c r="M238" s="39" t="s">
        <v>296</v>
      </c>
    </row>
    <row r="239" customFormat="false" ht="15" hidden="false" customHeight="false" outlineLevel="0" collapsed="false">
      <c r="A239" s="33" t="n">
        <v>27</v>
      </c>
      <c r="B239" s="34" t="n">
        <v>46351</v>
      </c>
      <c r="C239" s="33" t="str">
        <f aca="false">TEXT(B239,"dddd")</f>
        <v>Wednesday</v>
      </c>
      <c r="D239" s="33" t="n">
        <f aca="false">INT((A239-1)/6)+1</f>
        <v>5</v>
      </c>
      <c r="E239" s="35" t="n">
        <v>0.5</v>
      </c>
      <c r="F239" s="35" t="n">
        <v>0.541666666666667</v>
      </c>
      <c r="G239" s="33" t="str">
        <f aca="false">TEXT(E239,"h:mm")&amp;" to "&amp;TEXT(F239,"h:mm")</f>
        <v>12:00 to 13:00</v>
      </c>
      <c r="H239" s="36" t="n">
        <f aca="false">ROUND((F239-E239)*24,2)</f>
        <v>1</v>
      </c>
      <c r="I239" s="37" t="s">
        <v>136</v>
      </c>
      <c r="J239" s="38" t="s">
        <v>36</v>
      </c>
      <c r="K239" s="33"/>
      <c r="L239" s="33"/>
      <c r="M239" s="39"/>
    </row>
    <row r="240" customFormat="false" ht="15" hidden="false" customHeight="false" outlineLevel="0" collapsed="false">
      <c r="A240" s="33" t="n">
        <v>27</v>
      </c>
      <c r="B240" s="34" t="n">
        <v>46351</v>
      </c>
      <c r="C240" s="33" t="str">
        <f aca="false">TEXT(B240,"dddd")</f>
        <v>Wednesday</v>
      </c>
      <c r="D240" s="33" t="n">
        <f aca="false">INT((A240-1)/6)+1</f>
        <v>5</v>
      </c>
      <c r="E240" s="35" t="n">
        <v>0.541666666666667</v>
      </c>
      <c r="F240" s="35" t="n">
        <v>0.604166666666667</v>
      </c>
      <c r="G240" s="33" t="str">
        <f aca="false">TEXT(E240,"h:mm")&amp;" to "&amp;TEXT(F240,"h:mm")</f>
        <v>13:00 to 14:30</v>
      </c>
      <c r="H240" s="36" t="n">
        <f aca="false">ROUND((F240-E240)*24,2)</f>
        <v>1.5</v>
      </c>
      <c r="I240" s="46" t="s">
        <v>297</v>
      </c>
      <c r="J240" s="47" t="s">
        <v>32</v>
      </c>
      <c r="K240" s="33" t="s">
        <v>8</v>
      </c>
      <c r="L240" s="33" t="s">
        <v>28</v>
      </c>
      <c r="M240" s="39" t="s">
        <v>277</v>
      </c>
    </row>
    <row r="241" customFormat="false" ht="15" hidden="false" customHeight="false" outlineLevel="0" collapsed="false">
      <c r="A241" s="33" t="n">
        <v>27</v>
      </c>
      <c r="B241" s="34" t="n">
        <v>46351</v>
      </c>
      <c r="C241" s="33" t="str">
        <f aca="false">TEXT(B241,"dddd")</f>
        <v>Wednesday</v>
      </c>
      <c r="D241" s="33" t="n">
        <f aca="false">INT((A241-1)/6)+1</f>
        <v>5</v>
      </c>
      <c r="E241" s="35" t="n">
        <v>0.604166666666667</v>
      </c>
      <c r="F241" s="35" t="n">
        <v>0.614583333333333</v>
      </c>
      <c r="G241" s="33" t="str">
        <f aca="false">TEXT(E241,"h:mm")&amp;" to "&amp;TEXT(F241,"h:mm")</f>
        <v>14:30 to 14:45</v>
      </c>
      <c r="H241" s="36" t="n">
        <f aca="false">ROUND((F241-E241)*24,2)</f>
        <v>0.25</v>
      </c>
      <c r="I241" s="37" t="s">
        <v>139</v>
      </c>
      <c r="J241" s="38" t="s">
        <v>36</v>
      </c>
      <c r="K241" s="33"/>
      <c r="L241" s="33"/>
      <c r="M241" s="39"/>
    </row>
    <row r="242" customFormat="false" ht="23.85" hidden="false" customHeight="false" outlineLevel="0" collapsed="false">
      <c r="A242" s="33" t="n">
        <v>27</v>
      </c>
      <c r="B242" s="34" t="n">
        <v>46351</v>
      </c>
      <c r="C242" s="33" t="str">
        <f aca="false">TEXT(B242,"dddd")</f>
        <v>Wednesday</v>
      </c>
      <c r="D242" s="33" t="n">
        <f aca="false">INT((A242-1)/6)+1</f>
        <v>5</v>
      </c>
      <c r="E242" s="35" t="n">
        <v>0.614583333333333</v>
      </c>
      <c r="F242" s="35" t="n">
        <v>0.645833333333333</v>
      </c>
      <c r="G242" s="33" t="str">
        <f aca="false">TEXT(E242,"h:mm")&amp;" to "&amp;TEXT(F242,"h:mm")</f>
        <v>14:45 to 15:30</v>
      </c>
      <c r="H242" s="36" t="n">
        <f aca="false">ROUND((F242-E242)*24,2)</f>
        <v>0.75</v>
      </c>
      <c r="I242" s="46" t="s">
        <v>298</v>
      </c>
      <c r="J242" s="47" t="s">
        <v>32</v>
      </c>
      <c r="K242" s="33" t="s">
        <v>8</v>
      </c>
      <c r="L242" s="33" t="s">
        <v>28</v>
      </c>
      <c r="M242" s="39"/>
    </row>
    <row r="243" customFormat="false" ht="23.85" hidden="false" customHeight="false" outlineLevel="0" collapsed="false">
      <c r="A243" s="33" t="n">
        <v>27</v>
      </c>
      <c r="B243" s="34" t="n">
        <v>46351</v>
      </c>
      <c r="C243" s="33" t="str">
        <f aca="false">TEXT(B243,"dddd")</f>
        <v>Wednesday</v>
      </c>
      <c r="D243" s="33" t="n">
        <f aca="false">INT((A243-1)/6)+1</f>
        <v>5</v>
      </c>
      <c r="E243" s="35" t="n">
        <v>0.645833333333333</v>
      </c>
      <c r="F243" s="35" t="n">
        <v>0.6875</v>
      </c>
      <c r="G243" s="33" t="str">
        <f aca="false">TEXT(E243,"h:mm")&amp;" to "&amp;TEXT(F243,"h:mm")</f>
        <v>15:30 to 16:30</v>
      </c>
      <c r="H243" s="36" t="n">
        <f aca="false">ROUND((F243-E243)*24,2)</f>
        <v>1</v>
      </c>
      <c r="I243" s="48" t="s">
        <v>149</v>
      </c>
      <c r="J243" s="49" t="s">
        <v>33</v>
      </c>
      <c r="K243" s="33" t="s">
        <v>8</v>
      </c>
      <c r="L243" s="33" t="s">
        <v>28</v>
      </c>
      <c r="M243" s="39" t="s">
        <v>299</v>
      </c>
    </row>
    <row r="244" customFormat="false" ht="15" hidden="false" customHeight="false" outlineLevel="0" collapsed="false">
      <c r="A244" s="33" t="n">
        <v>28</v>
      </c>
      <c r="B244" s="34" t="n">
        <v>46352</v>
      </c>
      <c r="C244" s="33" t="str">
        <f aca="false">TEXT(B244,"dddd")</f>
        <v>Thursday</v>
      </c>
      <c r="D244" s="33" t="n">
        <f aca="false">INT((A244-1)/6)+1</f>
        <v>5</v>
      </c>
      <c r="E244" s="35" t="n">
        <v>0.354166666666667</v>
      </c>
      <c r="F244" s="35" t="n">
        <v>0.375</v>
      </c>
      <c r="G244" s="33" t="str">
        <f aca="false">TEXT(E244,"h:mm")&amp;" to "&amp;TEXT(F244,"h:mm")</f>
        <v>8:30 to 9:00</v>
      </c>
      <c r="H244" s="36" t="n">
        <f aca="false">ROUND((F244-E244)*24,2)</f>
        <v>0.5</v>
      </c>
      <c r="I244" s="42" t="s">
        <v>175</v>
      </c>
      <c r="J244" s="43" t="s">
        <v>34</v>
      </c>
      <c r="K244" s="33"/>
      <c r="L244" s="33"/>
      <c r="M244" s="39" t="s">
        <v>176</v>
      </c>
    </row>
    <row r="245" customFormat="false" ht="15" hidden="false" customHeight="false" outlineLevel="0" collapsed="false">
      <c r="A245" s="33" t="n">
        <v>28</v>
      </c>
      <c r="B245" s="34" t="n">
        <v>46352</v>
      </c>
      <c r="C245" s="33" t="str">
        <f aca="false">TEXT(B245,"dddd")</f>
        <v>Thursday</v>
      </c>
      <c r="D245" s="33" t="n">
        <f aca="false">INT((A245-1)/6)+1</f>
        <v>5</v>
      </c>
      <c r="E245" s="35" t="n">
        <v>0.375</v>
      </c>
      <c r="F245" s="35" t="n">
        <v>0.4375</v>
      </c>
      <c r="G245" s="33" t="str">
        <f aca="false">TEXT(E245,"h:mm")&amp;" to "&amp;TEXT(F245,"h:mm")</f>
        <v>9:00 to 10:30</v>
      </c>
      <c r="H245" s="36" t="n">
        <f aca="false">ROUND((F245-E245)*24,2)</f>
        <v>1.5</v>
      </c>
      <c r="I245" s="40" t="s">
        <v>300</v>
      </c>
      <c r="J245" s="41" t="s">
        <v>35</v>
      </c>
      <c r="K245" s="33" t="s">
        <v>7</v>
      </c>
      <c r="L245" s="33" t="s">
        <v>16</v>
      </c>
      <c r="M245" s="39"/>
    </row>
    <row r="246" customFormat="false" ht="15" hidden="false" customHeight="false" outlineLevel="0" collapsed="false">
      <c r="A246" s="33" t="n">
        <v>28</v>
      </c>
      <c r="B246" s="34" t="n">
        <v>46352</v>
      </c>
      <c r="C246" s="33" t="str">
        <f aca="false">TEXT(B246,"dddd")</f>
        <v>Thursday</v>
      </c>
      <c r="D246" s="33" t="n">
        <f aca="false">INT((A246-1)/6)+1</f>
        <v>5</v>
      </c>
      <c r="E246" s="35" t="n">
        <v>0.4375</v>
      </c>
      <c r="F246" s="35" t="n">
        <v>0.447916666666667</v>
      </c>
      <c r="G246" s="33" t="str">
        <f aca="false">TEXT(E246,"h:mm")&amp;" to "&amp;TEXT(F246,"h:mm")</f>
        <v>10:30 to 10:45</v>
      </c>
      <c r="H246" s="36" t="n">
        <f aca="false">ROUND((F246-E246)*24,2)</f>
        <v>0.25</v>
      </c>
      <c r="I246" s="37" t="s">
        <v>133</v>
      </c>
      <c r="J246" s="38" t="s">
        <v>36</v>
      </c>
      <c r="K246" s="33"/>
      <c r="L246" s="33"/>
      <c r="M246" s="39"/>
    </row>
    <row r="247" customFormat="false" ht="15" hidden="false" customHeight="false" outlineLevel="0" collapsed="false">
      <c r="A247" s="33" t="n">
        <v>28</v>
      </c>
      <c r="B247" s="34" t="n">
        <v>46352</v>
      </c>
      <c r="C247" s="33" t="str">
        <f aca="false">TEXT(B247,"dddd")</f>
        <v>Thursday</v>
      </c>
      <c r="D247" s="33" t="n">
        <f aca="false">INT((A247-1)/6)+1</f>
        <v>5</v>
      </c>
      <c r="E247" s="35" t="n">
        <v>0.447916666666667</v>
      </c>
      <c r="F247" s="35" t="n">
        <v>0.5</v>
      </c>
      <c r="G247" s="33" t="str">
        <f aca="false">TEXT(E247,"h:mm")&amp;" to "&amp;TEXT(F247,"h:mm")</f>
        <v>10:45 to 12:00</v>
      </c>
      <c r="H247" s="36" t="n">
        <f aca="false">ROUND((F247-E247)*24,2)</f>
        <v>1.25</v>
      </c>
      <c r="I247" s="40" t="s">
        <v>301</v>
      </c>
      <c r="J247" s="41" t="s">
        <v>35</v>
      </c>
      <c r="K247" s="33" t="s">
        <v>7</v>
      </c>
      <c r="L247" s="33" t="s">
        <v>16</v>
      </c>
      <c r="M247" s="39"/>
    </row>
    <row r="248" customFormat="false" ht="15" hidden="false" customHeight="false" outlineLevel="0" collapsed="false">
      <c r="A248" s="33" t="n">
        <v>28</v>
      </c>
      <c r="B248" s="34" t="n">
        <v>46352</v>
      </c>
      <c r="C248" s="33" t="str">
        <f aca="false">TEXT(B248,"dddd")</f>
        <v>Thursday</v>
      </c>
      <c r="D248" s="33" t="n">
        <f aca="false">INT((A248-1)/6)+1</f>
        <v>5</v>
      </c>
      <c r="E248" s="35" t="n">
        <v>0.5</v>
      </c>
      <c r="F248" s="35" t="n">
        <v>0.541666666666667</v>
      </c>
      <c r="G248" s="33" t="str">
        <f aca="false">TEXT(E248,"h:mm")&amp;" to "&amp;TEXT(F248,"h:mm")</f>
        <v>12:00 to 13:00</v>
      </c>
      <c r="H248" s="36" t="n">
        <f aca="false">ROUND((F248-E248)*24,2)</f>
        <v>1</v>
      </c>
      <c r="I248" s="37" t="s">
        <v>136</v>
      </c>
      <c r="J248" s="38" t="s">
        <v>36</v>
      </c>
      <c r="K248" s="33"/>
      <c r="L248" s="33"/>
      <c r="M248" s="39"/>
    </row>
    <row r="249" customFormat="false" ht="15" hidden="false" customHeight="false" outlineLevel="0" collapsed="false">
      <c r="A249" s="33" t="n">
        <v>28</v>
      </c>
      <c r="B249" s="34" t="n">
        <v>46352</v>
      </c>
      <c r="C249" s="33" t="str">
        <f aca="false">TEXT(B249,"dddd")</f>
        <v>Thursday</v>
      </c>
      <c r="D249" s="33" t="n">
        <f aca="false">INT((A249-1)/6)+1</f>
        <v>5</v>
      </c>
      <c r="E249" s="35" t="n">
        <v>0.541666666666667</v>
      </c>
      <c r="F249" s="35" t="n">
        <v>0.583333333333333</v>
      </c>
      <c r="G249" s="33" t="str">
        <f aca="false">TEXT(E249,"h:mm")&amp;" to "&amp;TEXT(F249,"h:mm")</f>
        <v>13:00 to 14:00</v>
      </c>
      <c r="H249" s="36" t="n">
        <f aca="false">ROUND((F249-E249)*24,2)</f>
        <v>1</v>
      </c>
      <c r="I249" s="40" t="s">
        <v>302</v>
      </c>
      <c r="J249" s="41" t="s">
        <v>35</v>
      </c>
      <c r="K249" s="33" t="s">
        <v>7</v>
      </c>
      <c r="L249" s="33" t="s">
        <v>21</v>
      </c>
      <c r="M249" s="39"/>
    </row>
    <row r="250" customFormat="false" ht="15" hidden="false" customHeight="false" outlineLevel="0" collapsed="false">
      <c r="A250" s="33" t="n">
        <v>28</v>
      </c>
      <c r="B250" s="34" t="n">
        <v>46352</v>
      </c>
      <c r="C250" s="33" t="str">
        <f aca="false">TEXT(B250,"dddd")</f>
        <v>Thursday</v>
      </c>
      <c r="D250" s="33" t="n">
        <f aca="false">INT((A250-1)/6)+1</f>
        <v>5</v>
      </c>
      <c r="E250" s="35" t="n">
        <v>0.583333333333333</v>
      </c>
      <c r="F250" s="35" t="n">
        <v>0.59375</v>
      </c>
      <c r="G250" s="33" t="str">
        <f aca="false">TEXT(E250,"h:mm")&amp;" to "&amp;TEXT(F250,"h:mm")</f>
        <v>14:00 to 14:15</v>
      </c>
      <c r="H250" s="36" t="n">
        <f aca="false">ROUND((F250-E250)*24,2)</f>
        <v>0.25</v>
      </c>
      <c r="I250" s="37" t="s">
        <v>139</v>
      </c>
      <c r="J250" s="38" t="s">
        <v>36</v>
      </c>
      <c r="K250" s="33"/>
      <c r="L250" s="33"/>
      <c r="M250" s="39"/>
    </row>
    <row r="251" customFormat="false" ht="35.05" hidden="false" customHeight="false" outlineLevel="0" collapsed="false">
      <c r="A251" s="33" t="n">
        <v>28</v>
      </c>
      <c r="B251" s="34" t="n">
        <v>46352</v>
      </c>
      <c r="C251" s="33" t="str">
        <f aca="false">TEXT(B251,"dddd")</f>
        <v>Thursday</v>
      </c>
      <c r="D251" s="33" t="n">
        <f aca="false">INT((A251-1)/6)+1</f>
        <v>5</v>
      </c>
      <c r="E251" s="35" t="n">
        <v>0.59375</v>
      </c>
      <c r="F251" s="35" t="n">
        <v>0.6875</v>
      </c>
      <c r="G251" s="33" t="str">
        <f aca="false">TEXT(E251,"h:mm")&amp;" to "&amp;TEXT(F251,"h:mm")</f>
        <v>14:15 to 16:30</v>
      </c>
      <c r="H251" s="36" t="n">
        <f aca="false">ROUND((F251-E251)*24,2)</f>
        <v>2.25</v>
      </c>
      <c r="I251" s="40" t="s">
        <v>303</v>
      </c>
      <c r="J251" s="41" t="s">
        <v>35</v>
      </c>
      <c r="K251" s="33" t="s">
        <v>7</v>
      </c>
      <c r="L251" s="33" t="s">
        <v>19</v>
      </c>
      <c r="M251" s="39" t="s">
        <v>217</v>
      </c>
    </row>
    <row r="252" customFormat="false" ht="15" hidden="false" customHeight="false" outlineLevel="0" collapsed="false">
      <c r="A252" s="33" t="n">
        <v>29</v>
      </c>
      <c r="B252" s="34" t="n">
        <v>46353</v>
      </c>
      <c r="C252" s="33" t="str">
        <f aca="false">TEXT(B252,"dddd")</f>
        <v>Friday</v>
      </c>
      <c r="D252" s="33" t="n">
        <f aca="false">INT((A252-1)/6)+1</f>
        <v>5</v>
      </c>
      <c r="E252" s="35" t="n">
        <v>0.354166666666667</v>
      </c>
      <c r="F252" s="35" t="n">
        <v>0.416666666666667</v>
      </c>
      <c r="G252" s="33" t="str">
        <f aca="false">TEXT(E252,"h:mm")&amp;" to "&amp;TEXT(F252,"h:mm")</f>
        <v>8:30 to 10:00</v>
      </c>
      <c r="H252" s="36" t="n">
        <f aca="false">ROUND((F252-E252)*24,2)</f>
        <v>1.5</v>
      </c>
      <c r="I252" s="46" t="s">
        <v>304</v>
      </c>
      <c r="J252" s="47" t="s">
        <v>32</v>
      </c>
      <c r="K252" s="33" t="s">
        <v>8</v>
      </c>
      <c r="L252" s="33" t="s">
        <v>26</v>
      </c>
      <c r="M252" s="39" t="s">
        <v>277</v>
      </c>
    </row>
    <row r="253" customFormat="false" ht="15" hidden="false" customHeight="false" outlineLevel="0" collapsed="false">
      <c r="A253" s="33" t="n">
        <v>29</v>
      </c>
      <c r="B253" s="34" t="n">
        <v>46353</v>
      </c>
      <c r="C253" s="33" t="str">
        <f aca="false">TEXT(B253,"dddd")</f>
        <v>Friday</v>
      </c>
      <c r="D253" s="33" t="n">
        <f aca="false">INT((A253-1)/6)+1</f>
        <v>5</v>
      </c>
      <c r="E253" s="35" t="n">
        <v>0.416666666666667</v>
      </c>
      <c r="F253" s="35" t="n">
        <v>0.427083333333333</v>
      </c>
      <c r="G253" s="33" t="str">
        <f aca="false">TEXT(E253,"h:mm")&amp;" to "&amp;TEXT(F253,"h:mm")</f>
        <v>10:00 to 10:15</v>
      </c>
      <c r="H253" s="36" t="n">
        <f aca="false">ROUND((F253-E253)*24,2)</f>
        <v>0.25</v>
      </c>
      <c r="I253" s="37" t="s">
        <v>133</v>
      </c>
      <c r="J253" s="38" t="s">
        <v>36</v>
      </c>
      <c r="K253" s="33"/>
      <c r="L253" s="33"/>
      <c r="M253" s="39"/>
    </row>
    <row r="254" customFormat="false" ht="15" hidden="false" customHeight="false" outlineLevel="0" collapsed="false">
      <c r="A254" s="33" t="n">
        <v>29</v>
      </c>
      <c r="B254" s="34" t="n">
        <v>46353</v>
      </c>
      <c r="C254" s="33" t="str">
        <f aca="false">TEXT(B254,"dddd")</f>
        <v>Friday</v>
      </c>
      <c r="D254" s="33" t="n">
        <f aca="false">INT((A254-1)/6)+1</f>
        <v>5</v>
      </c>
      <c r="E254" s="35" t="n">
        <v>0.427083333333333</v>
      </c>
      <c r="F254" s="35" t="n">
        <v>0.479166666666667</v>
      </c>
      <c r="G254" s="33" t="str">
        <f aca="false">TEXT(E254,"h:mm")&amp;" to "&amp;TEXT(F254,"h:mm")</f>
        <v>10:15 to 11:30</v>
      </c>
      <c r="H254" s="36" t="n">
        <f aca="false">ROUND((F254-E254)*24,2)</f>
        <v>1.25</v>
      </c>
      <c r="I254" s="46" t="s">
        <v>305</v>
      </c>
      <c r="J254" s="47" t="s">
        <v>32</v>
      </c>
      <c r="K254" s="33" t="s">
        <v>8</v>
      </c>
      <c r="L254" s="33" t="s">
        <v>26</v>
      </c>
      <c r="M254" s="39" t="s">
        <v>277</v>
      </c>
    </row>
    <row r="255" customFormat="false" ht="15" hidden="false" customHeight="false" outlineLevel="0" collapsed="false">
      <c r="A255" s="33" t="n">
        <v>29</v>
      </c>
      <c r="B255" s="34" t="n">
        <v>46353</v>
      </c>
      <c r="C255" s="33" t="str">
        <f aca="false">TEXT(B255,"dddd")</f>
        <v>Friday</v>
      </c>
      <c r="D255" s="33" t="n">
        <f aca="false">INT((A255-1)/6)+1</f>
        <v>5</v>
      </c>
      <c r="E255" s="35" t="n">
        <v>0.479166666666667</v>
      </c>
      <c r="F255" s="35" t="n">
        <v>0.541666666666667</v>
      </c>
      <c r="G255" s="33" t="str">
        <f aca="false">TEXT(E255,"h:mm")&amp;" to "&amp;TEXT(F255,"h:mm")</f>
        <v>11:30 to 13:00</v>
      </c>
      <c r="H255" s="36" t="n">
        <f aca="false">ROUND((F255-E255)*24,2)</f>
        <v>1.5</v>
      </c>
      <c r="I255" s="37" t="s">
        <v>136</v>
      </c>
      <c r="J255" s="38" t="s">
        <v>36</v>
      </c>
      <c r="K255" s="33"/>
      <c r="L255" s="33"/>
      <c r="M255" s="39"/>
    </row>
    <row r="256" customFormat="false" ht="15" hidden="false" customHeight="false" outlineLevel="0" collapsed="false">
      <c r="A256" s="33" t="n">
        <v>29</v>
      </c>
      <c r="B256" s="34" t="n">
        <v>46353</v>
      </c>
      <c r="C256" s="33" t="str">
        <f aca="false">TEXT(B256,"dddd")</f>
        <v>Friday</v>
      </c>
      <c r="D256" s="33" t="n">
        <f aca="false">INT((A256-1)/6)+1</f>
        <v>5</v>
      </c>
      <c r="E256" s="35" t="n">
        <v>0.541666666666667</v>
      </c>
      <c r="F256" s="35" t="n">
        <v>0.604166666666667</v>
      </c>
      <c r="G256" s="33" t="str">
        <f aca="false">TEXT(E256,"h:mm")&amp;" to "&amp;TEXT(F256,"h:mm")</f>
        <v>13:00 to 14:30</v>
      </c>
      <c r="H256" s="36" t="n">
        <f aca="false">ROUND((F256-E256)*24,2)</f>
        <v>1.5</v>
      </c>
      <c r="I256" s="40" t="s">
        <v>306</v>
      </c>
      <c r="J256" s="41" t="s">
        <v>35</v>
      </c>
      <c r="K256" s="33" t="s">
        <v>8</v>
      </c>
      <c r="L256" s="33" t="s">
        <v>28</v>
      </c>
      <c r="M256" s="39" t="s">
        <v>277</v>
      </c>
    </row>
    <row r="257" customFormat="false" ht="15" hidden="false" customHeight="false" outlineLevel="0" collapsed="false">
      <c r="A257" s="33" t="n">
        <v>29</v>
      </c>
      <c r="B257" s="34" t="n">
        <v>46353</v>
      </c>
      <c r="C257" s="33" t="str">
        <f aca="false">TEXT(B257,"dddd")</f>
        <v>Friday</v>
      </c>
      <c r="D257" s="33" t="n">
        <f aca="false">INT((A257-1)/6)+1</f>
        <v>5</v>
      </c>
      <c r="E257" s="35" t="n">
        <v>0.604166666666667</v>
      </c>
      <c r="F257" s="35" t="n">
        <v>0.614583333333333</v>
      </c>
      <c r="G257" s="33" t="str">
        <f aca="false">TEXT(E257,"h:mm")&amp;" to "&amp;TEXT(F257,"h:mm")</f>
        <v>14:30 to 14:45</v>
      </c>
      <c r="H257" s="36" t="n">
        <f aca="false">ROUND((F257-E257)*24,2)</f>
        <v>0.25</v>
      </c>
      <c r="I257" s="37" t="s">
        <v>139</v>
      </c>
      <c r="J257" s="38" t="s">
        <v>36</v>
      </c>
      <c r="K257" s="33"/>
      <c r="L257" s="33"/>
      <c r="M257" s="39"/>
    </row>
    <row r="258" customFormat="false" ht="15" hidden="false" customHeight="false" outlineLevel="0" collapsed="false">
      <c r="A258" s="33" t="n">
        <v>29</v>
      </c>
      <c r="B258" s="34" t="n">
        <v>46353</v>
      </c>
      <c r="C258" s="33" t="str">
        <f aca="false">TEXT(B258,"dddd")</f>
        <v>Friday</v>
      </c>
      <c r="D258" s="33" t="n">
        <f aca="false">INT((A258-1)/6)+1</f>
        <v>5</v>
      </c>
      <c r="E258" s="35" t="n">
        <v>0.614583333333333</v>
      </c>
      <c r="F258" s="35" t="n">
        <v>0.645833333333333</v>
      </c>
      <c r="G258" s="33" t="str">
        <f aca="false">TEXT(E258,"h:mm")&amp;" to "&amp;TEXT(F258,"h:mm")</f>
        <v>14:45 to 15:30</v>
      </c>
      <c r="H258" s="36" t="n">
        <f aca="false">ROUND((F258-E258)*24,2)</f>
        <v>0.75</v>
      </c>
      <c r="I258" s="40" t="s">
        <v>307</v>
      </c>
      <c r="J258" s="41" t="s">
        <v>35</v>
      </c>
      <c r="K258" s="33" t="s">
        <v>8</v>
      </c>
      <c r="L258" s="33" t="s">
        <v>28</v>
      </c>
      <c r="M258" s="39"/>
    </row>
    <row r="259" customFormat="false" ht="23.85" hidden="false" customHeight="false" outlineLevel="0" collapsed="false">
      <c r="A259" s="33" t="n">
        <v>29</v>
      </c>
      <c r="B259" s="34" t="n">
        <v>46353</v>
      </c>
      <c r="C259" s="33" t="str">
        <f aca="false">TEXT(B259,"dddd")</f>
        <v>Friday</v>
      </c>
      <c r="D259" s="33" t="n">
        <f aca="false">INT((A259-1)/6)+1</f>
        <v>5</v>
      </c>
      <c r="E259" s="35" t="n">
        <v>0.645833333333333</v>
      </c>
      <c r="F259" s="35" t="n">
        <v>0.6875</v>
      </c>
      <c r="G259" s="33" t="str">
        <f aca="false">TEXT(E259,"h:mm")&amp;" to "&amp;TEXT(F259,"h:mm")</f>
        <v>15:30 to 16:30</v>
      </c>
      <c r="H259" s="36" t="n">
        <f aca="false">ROUND((F259-E259)*24,2)</f>
        <v>1</v>
      </c>
      <c r="I259" s="48" t="s">
        <v>149</v>
      </c>
      <c r="J259" s="49" t="s">
        <v>33</v>
      </c>
      <c r="K259" s="33" t="s">
        <v>8</v>
      </c>
      <c r="L259" s="33" t="s">
        <v>28</v>
      </c>
      <c r="M259" s="39" t="s">
        <v>308</v>
      </c>
    </row>
    <row r="260" customFormat="false" ht="15" hidden="false" customHeight="false" outlineLevel="0" collapsed="false">
      <c r="A260" s="33" t="n">
        <v>30</v>
      </c>
      <c r="B260" s="34" t="n">
        <v>46354</v>
      </c>
      <c r="C260" s="33" t="str">
        <f aca="false">TEXT(B260,"dddd")</f>
        <v>Saturday</v>
      </c>
      <c r="D260" s="33" t="n">
        <f aca="false">INT((A260-1)/6)+1</f>
        <v>5</v>
      </c>
      <c r="E260" s="35" t="n">
        <v>0.354166666666667</v>
      </c>
      <c r="F260" s="35" t="n">
        <v>0.375</v>
      </c>
      <c r="G260" s="33" t="str">
        <f aca="false">TEXT(E260,"h:mm")&amp;" to "&amp;TEXT(F260,"h:mm")</f>
        <v>8:30 to 9:00</v>
      </c>
      <c r="H260" s="36" t="n">
        <f aca="false">ROUND((F260-E260)*24,2)</f>
        <v>0.5</v>
      </c>
      <c r="I260" s="42" t="s">
        <v>175</v>
      </c>
      <c r="J260" s="43" t="s">
        <v>34</v>
      </c>
      <c r="K260" s="33"/>
      <c r="L260" s="33"/>
      <c r="M260" s="39" t="s">
        <v>176</v>
      </c>
    </row>
    <row r="261" customFormat="false" ht="15" hidden="false" customHeight="false" outlineLevel="0" collapsed="false">
      <c r="A261" s="33" t="n">
        <v>30</v>
      </c>
      <c r="B261" s="34" t="n">
        <v>46354</v>
      </c>
      <c r="C261" s="33" t="str">
        <f aca="false">TEXT(B261,"dddd")</f>
        <v>Saturday</v>
      </c>
      <c r="D261" s="33" t="n">
        <f aca="false">INT((A261-1)/6)+1</f>
        <v>5</v>
      </c>
      <c r="E261" s="35" t="n">
        <v>0.375</v>
      </c>
      <c r="F261" s="35" t="n">
        <v>0.4375</v>
      </c>
      <c r="G261" s="33" t="str">
        <f aca="false">TEXT(E261,"h:mm")&amp;" to "&amp;TEXT(F261,"h:mm")</f>
        <v>9:00 to 10:30</v>
      </c>
      <c r="H261" s="36" t="n">
        <f aca="false">ROUND((F261-E261)*24,2)</f>
        <v>1.5</v>
      </c>
      <c r="I261" s="42" t="s">
        <v>309</v>
      </c>
      <c r="J261" s="43" t="s">
        <v>34</v>
      </c>
      <c r="K261" s="33" t="s">
        <v>7</v>
      </c>
      <c r="L261" s="33" t="s">
        <v>16</v>
      </c>
      <c r="M261" s="39"/>
    </row>
    <row r="262" customFormat="false" ht="15" hidden="false" customHeight="false" outlineLevel="0" collapsed="false">
      <c r="A262" s="33" t="n">
        <v>30</v>
      </c>
      <c r="B262" s="34" t="n">
        <v>46354</v>
      </c>
      <c r="C262" s="33" t="str">
        <f aca="false">TEXT(B262,"dddd")</f>
        <v>Saturday</v>
      </c>
      <c r="D262" s="33" t="n">
        <f aca="false">INT((A262-1)/6)+1</f>
        <v>5</v>
      </c>
      <c r="E262" s="35" t="n">
        <v>0.4375</v>
      </c>
      <c r="F262" s="35" t="n">
        <v>0.447916666666667</v>
      </c>
      <c r="G262" s="33" t="str">
        <f aca="false">TEXT(E262,"h:mm")&amp;" to "&amp;TEXT(F262,"h:mm")</f>
        <v>10:30 to 10:45</v>
      </c>
      <c r="H262" s="36" t="n">
        <f aca="false">ROUND((F262-E262)*24,2)</f>
        <v>0.25</v>
      </c>
      <c r="I262" s="37" t="s">
        <v>133</v>
      </c>
      <c r="J262" s="38" t="s">
        <v>36</v>
      </c>
      <c r="K262" s="33"/>
      <c r="L262" s="33"/>
      <c r="M262" s="39"/>
    </row>
    <row r="263" customFormat="false" ht="15" hidden="false" customHeight="false" outlineLevel="0" collapsed="false">
      <c r="A263" s="33" t="n">
        <v>30</v>
      </c>
      <c r="B263" s="34" t="n">
        <v>46354</v>
      </c>
      <c r="C263" s="33" t="str">
        <f aca="false">TEXT(B263,"dddd")</f>
        <v>Saturday</v>
      </c>
      <c r="D263" s="33" t="n">
        <f aca="false">INT((A263-1)/6)+1</f>
        <v>5</v>
      </c>
      <c r="E263" s="35" t="n">
        <v>0.447916666666667</v>
      </c>
      <c r="F263" s="35" t="n">
        <v>0.5</v>
      </c>
      <c r="G263" s="33" t="str">
        <f aca="false">TEXT(E263,"h:mm")&amp;" to "&amp;TEXT(F263,"h:mm")</f>
        <v>10:45 to 12:00</v>
      </c>
      <c r="H263" s="36" t="n">
        <f aca="false">ROUND((F263-E263)*24,2)</f>
        <v>1.25</v>
      </c>
      <c r="I263" s="42" t="s">
        <v>310</v>
      </c>
      <c r="J263" s="43" t="s">
        <v>34</v>
      </c>
      <c r="K263" s="33" t="s">
        <v>7</v>
      </c>
      <c r="L263" s="33" t="s">
        <v>16</v>
      </c>
      <c r="M263" s="39"/>
    </row>
    <row r="264" customFormat="false" ht="15" hidden="false" customHeight="false" outlineLevel="0" collapsed="false">
      <c r="A264" s="33" t="n">
        <v>30</v>
      </c>
      <c r="B264" s="34" t="n">
        <v>46354</v>
      </c>
      <c r="C264" s="33" t="str">
        <f aca="false">TEXT(B264,"dddd")</f>
        <v>Saturday</v>
      </c>
      <c r="D264" s="33" t="n">
        <f aca="false">INT((A264-1)/6)+1</f>
        <v>5</v>
      </c>
      <c r="E264" s="35" t="n">
        <v>0.5</v>
      </c>
      <c r="F264" s="35" t="n">
        <v>0.541666666666667</v>
      </c>
      <c r="G264" s="33" t="str">
        <f aca="false">TEXT(E264,"h:mm")&amp;" to "&amp;TEXT(F264,"h:mm")</f>
        <v>12:00 to 13:00</v>
      </c>
      <c r="H264" s="36" t="n">
        <f aca="false">ROUND((F264-E264)*24,2)</f>
        <v>1</v>
      </c>
      <c r="I264" s="37" t="s">
        <v>136</v>
      </c>
      <c r="J264" s="38" t="s">
        <v>36</v>
      </c>
      <c r="K264" s="33"/>
      <c r="L264" s="33"/>
      <c r="M264" s="39"/>
    </row>
    <row r="265" customFormat="false" ht="23.85" hidden="false" customHeight="false" outlineLevel="0" collapsed="false">
      <c r="A265" s="33" t="n">
        <v>30</v>
      </c>
      <c r="B265" s="34" t="n">
        <v>46354</v>
      </c>
      <c r="C265" s="33" t="str">
        <f aca="false">TEXT(B265,"dddd")</f>
        <v>Saturday</v>
      </c>
      <c r="D265" s="33" t="n">
        <f aca="false">INT((A265-1)/6)+1</f>
        <v>5</v>
      </c>
      <c r="E265" s="35" t="n">
        <v>0.541666666666667</v>
      </c>
      <c r="F265" s="35" t="n">
        <v>0.604166666666667</v>
      </c>
      <c r="G265" s="33" t="str">
        <f aca="false">TEXT(E265,"h:mm")&amp;" to "&amp;TEXT(F265,"h:mm")</f>
        <v>13:00 to 14:30</v>
      </c>
      <c r="H265" s="36" t="n">
        <f aca="false">ROUND((F265-E265)*24,2)</f>
        <v>1.5</v>
      </c>
      <c r="I265" s="46" t="s">
        <v>311</v>
      </c>
      <c r="J265" s="47" t="s">
        <v>32</v>
      </c>
      <c r="K265" s="33" t="s">
        <v>8</v>
      </c>
      <c r="L265" s="33" t="s">
        <v>28</v>
      </c>
      <c r="M265" s="39" t="s">
        <v>277</v>
      </c>
    </row>
    <row r="266" customFormat="false" ht="15" hidden="false" customHeight="false" outlineLevel="0" collapsed="false">
      <c r="A266" s="33" t="n">
        <v>30</v>
      </c>
      <c r="B266" s="34" t="n">
        <v>46354</v>
      </c>
      <c r="C266" s="33" t="str">
        <f aca="false">TEXT(B266,"dddd")</f>
        <v>Saturday</v>
      </c>
      <c r="D266" s="33" t="n">
        <f aca="false">INT((A266-1)/6)+1</f>
        <v>5</v>
      </c>
      <c r="E266" s="35" t="n">
        <v>0.604166666666667</v>
      </c>
      <c r="F266" s="35" t="n">
        <v>0.614583333333333</v>
      </c>
      <c r="G266" s="33" t="str">
        <f aca="false">TEXT(E266,"h:mm")&amp;" to "&amp;TEXT(F266,"h:mm")</f>
        <v>14:30 to 14:45</v>
      </c>
      <c r="H266" s="36" t="n">
        <f aca="false">ROUND((F266-E266)*24,2)</f>
        <v>0.25</v>
      </c>
      <c r="I266" s="37" t="s">
        <v>139</v>
      </c>
      <c r="J266" s="38" t="s">
        <v>36</v>
      </c>
      <c r="K266" s="33"/>
      <c r="L266" s="33"/>
      <c r="M266" s="39"/>
    </row>
    <row r="267" customFormat="false" ht="23.85" hidden="false" customHeight="false" outlineLevel="0" collapsed="false">
      <c r="A267" s="33" t="n">
        <v>30</v>
      </c>
      <c r="B267" s="34" t="n">
        <v>46354</v>
      </c>
      <c r="C267" s="33" t="str">
        <f aca="false">TEXT(B267,"dddd")</f>
        <v>Saturday</v>
      </c>
      <c r="D267" s="33" t="n">
        <f aca="false">INT((A267-1)/6)+1</f>
        <v>5</v>
      </c>
      <c r="E267" s="35" t="n">
        <v>0.614583333333333</v>
      </c>
      <c r="F267" s="35" t="n">
        <v>0.645833333333333</v>
      </c>
      <c r="G267" s="33" t="str">
        <f aca="false">TEXT(E267,"h:mm")&amp;" to "&amp;TEXT(F267,"h:mm")</f>
        <v>14:45 to 15:30</v>
      </c>
      <c r="H267" s="36" t="n">
        <f aca="false">ROUND((F267-E267)*24,2)</f>
        <v>0.75</v>
      </c>
      <c r="I267" s="46" t="s">
        <v>312</v>
      </c>
      <c r="J267" s="47" t="s">
        <v>32</v>
      </c>
      <c r="K267" s="33" t="s">
        <v>8</v>
      </c>
      <c r="L267" s="33" t="s">
        <v>28</v>
      </c>
      <c r="M267" s="39"/>
    </row>
    <row r="268" customFormat="false" ht="23.85" hidden="false" customHeight="false" outlineLevel="0" collapsed="false">
      <c r="A268" s="33" t="n">
        <v>30</v>
      </c>
      <c r="B268" s="34" t="n">
        <v>46354</v>
      </c>
      <c r="C268" s="33" t="str">
        <f aca="false">TEXT(B268,"dddd")</f>
        <v>Saturday</v>
      </c>
      <c r="D268" s="33" t="n">
        <f aca="false">INT((A268-1)/6)+1</f>
        <v>5</v>
      </c>
      <c r="E268" s="35" t="n">
        <v>0.645833333333333</v>
      </c>
      <c r="F268" s="35" t="n">
        <v>0.6875</v>
      </c>
      <c r="G268" s="33" t="str">
        <f aca="false">TEXT(E268,"h:mm")&amp;" to "&amp;TEXT(F268,"h:mm")</f>
        <v>15:30 to 16:30</v>
      </c>
      <c r="H268" s="36" t="n">
        <f aca="false">ROUND((F268-E268)*24,2)</f>
        <v>1</v>
      </c>
      <c r="I268" s="48" t="s">
        <v>149</v>
      </c>
      <c r="J268" s="49" t="s">
        <v>33</v>
      </c>
      <c r="K268" s="33" t="s">
        <v>8</v>
      </c>
      <c r="L268" s="33" t="s">
        <v>28</v>
      </c>
      <c r="M268" s="39" t="s">
        <v>313</v>
      </c>
    </row>
    <row r="269" customFormat="false" ht="15" hidden="false" customHeight="false" outlineLevel="0" collapsed="false">
      <c r="A269" s="33" t="n">
        <v>30</v>
      </c>
      <c r="B269" s="34" t="n">
        <v>46354</v>
      </c>
      <c r="C269" s="33" t="str">
        <f aca="false">TEXT(B269,"dddd")</f>
        <v>Saturday</v>
      </c>
      <c r="D269" s="33" t="n">
        <f aca="false">INT((A269-1)/6)+1</f>
        <v>5</v>
      </c>
      <c r="E269" s="35" t="n">
        <v>0.770833333333333</v>
      </c>
      <c r="F269" s="35" t="n">
        <v>0.8125</v>
      </c>
      <c r="G269" s="33" t="str">
        <f aca="false">TEXT(E269,"h:mm")&amp;" to "&amp;TEXT(F269,"h:mm")</f>
        <v>18:30 to 19:30</v>
      </c>
      <c r="H269" s="36" t="n">
        <f aca="false">ROUND((F269-E269)*24,2)</f>
        <v>1</v>
      </c>
      <c r="I269" s="42" t="s">
        <v>314</v>
      </c>
      <c r="J269" s="43" t="s">
        <v>34</v>
      </c>
      <c r="K269" s="33"/>
      <c r="L269" s="33"/>
      <c r="M269" s="39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18"/>
  </cols>
  <sheetData>
    <row r="1" customFormat="false" ht="19.7" hidden="false" customHeight="false" outlineLevel="0" collapsed="false">
      <c r="A1" s="1" t="s">
        <v>316</v>
      </c>
    </row>
    <row r="3" customFormat="false" ht="30" hidden="false" customHeight="true" outlineLevel="0" collapsed="false">
      <c r="A3" s="50" t="s">
        <v>125</v>
      </c>
      <c r="B3" s="51" t="s">
        <v>317</v>
      </c>
      <c r="C3" s="51" t="s">
        <v>318</v>
      </c>
      <c r="D3" s="51" t="s">
        <v>319</v>
      </c>
      <c r="E3" s="51" t="s">
        <v>320</v>
      </c>
      <c r="F3" s="51" t="s">
        <v>321</v>
      </c>
      <c r="G3" s="51" t="s">
        <v>322</v>
      </c>
      <c r="H3" s="51" t="s">
        <v>323</v>
      </c>
      <c r="I3" s="51" t="s">
        <v>324</v>
      </c>
      <c r="J3" s="51" t="s">
        <v>325</v>
      </c>
      <c r="K3" s="51" t="s">
        <v>326</v>
      </c>
      <c r="L3" s="51" t="s">
        <v>327</v>
      </c>
      <c r="M3" s="51" t="s">
        <v>328</v>
      </c>
      <c r="N3" s="51" t="s">
        <v>329</v>
      </c>
      <c r="O3" s="51" t="s">
        <v>330</v>
      </c>
      <c r="P3" s="51" t="s">
        <v>331</v>
      </c>
      <c r="Q3" s="51" t="s">
        <v>332</v>
      </c>
      <c r="R3" s="51" t="s">
        <v>333</v>
      </c>
      <c r="S3" s="51" t="s">
        <v>334</v>
      </c>
      <c r="T3" s="51" t="s">
        <v>335</v>
      </c>
      <c r="U3" s="51" t="s">
        <v>336</v>
      </c>
      <c r="V3" s="51" t="s">
        <v>337</v>
      </c>
      <c r="W3" s="51" t="s">
        <v>338</v>
      </c>
      <c r="X3" s="51" t="s">
        <v>339</v>
      </c>
      <c r="Y3" s="51" t="s">
        <v>340</v>
      </c>
      <c r="Z3" s="51" t="s">
        <v>341</v>
      </c>
      <c r="AA3" s="51" t="s">
        <v>342</v>
      </c>
      <c r="AB3" s="51" t="s">
        <v>343</v>
      </c>
      <c r="AC3" s="51" t="s">
        <v>344</v>
      </c>
      <c r="AD3" s="51" t="s">
        <v>345</v>
      </c>
      <c r="AE3" s="51" t="s">
        <v>346</v>
      </c>
    </row>
    <row r="4" customFormat="false" ht="57.75" hidden="false" customHeight="true" outlineLevel="0" collapsed="false">
      <c r="A4" s="52" t="s">
        <v>347</v>
      </c>
      <c r="B4" s="53" t="s">
        <v>348</v>
      </c>
      <c r="C4" s="54" t="s">
        <v>349</v>
      </c>
      <c r="D4" s="54" t="s">
        <v>350</v>
      </c>
      <c r="E4" s="55" t="s">
        <v>351</v>
      </c>
      <c r="F4" s="55" t="s">
        <v>352</v>
      </c>
      <c r="G4" s="56" t="s">
        <v>353</v>
      </c>
      <c r="H4" s="56" t="s">
        <v>353</v>
      </c>
      <c r="I4" s="54" t="s">
        <v>354</v>
      </c>
      <c r="J4" s="56" t="s">
        <v>353</v>
      </c>
      <c r="K4" s="54" t="s">
        <v>355</v>
      </c>
      <c r="L4" s="54" t="s">
        <v>356</v>
      </c>
      <c r="M4" s="54" t="s">
        <v>357</v>
      </c>
      <c r="N4" s="56" t="s">
        <v>353</v>
      </c>
      <c r="O4" s="56" t="s">
        <v>353</v>
      </c>
      <c r="P4" s="54" t="s">
        <v>358</v>
      </c>
      <c r="Q4" s="56" t="s">
        <v>353</v>
      </c>
      <c r="R4" s="54" t="s">
        <v>359</v>
      </c>
      <c r="S4" s="54" t="s">
        <v>360</v>
      </c>
      <c r="T4" s="54" t="s">
        <v>361</v>
      </c>
      <c r="U4" s="56" t="s">
        <v>353</v>
      </c>
      <c r="V4" s="56" t="s">
        <v>353</v>
      </c>
      <c r="W4" s="54" t="s">
        <v>362</v>
      </c>
      <c r="X4" s="56" t="s">
        <v>353</v>
      </c>
      <c r="Y4" s="54" t="s">
        <v>363</v>
      </c>
      <c r="Z4" s="54" t="s">
        <v>364</v>
      </c>
      <c r="AA4" s="54" t="s">
        <v>365</v>
      </c>
      <c r="AB4" s="56" t="s">
        <v>353</v>
      </c>
      <c r="AC4" s="56" t="s">
        <v>353</v>
      </c>
      <c r="AD4" s="54" t="s">
        <v>366</v>
      </c>
      <c r="AE4" s="56" t="s">
        <v>353</v>
      </c>
    </row>
    <row r="5" customFormat="false" ht="57.75" hidden="false" customHeight="true" outlineLevel="0" collapsed="false">
      <c r="A5" s="52" t="s">
        <v>367</v>
      </c>
      <c r="B5" s="57" t="s">
        <v>368</v>
      </c>
      <c r="C5" s="58"/>
      <c r="D5" s="58"/>
      <c r="E5" s="58"/>
      <c r="F5" s="58"/>
      <c r="G5" s="55" t="s">
        <v>369</v>
      </c>
      <c r="H5" s="55" t="s">
        <v>369</v>
      </c>
      <c r="I5" s="58"/>
      <c r="J5" s="55" t="s">
        <v>369</v>
      </c>
      <c r="K5" s="58"/>
      <c r="L5" s="58"/>
      <c r="M5" s="58"/>
      <c r="N5" s="55" t="s">
        <v>369</v>
      </c>
      <c r="O5" s="57" t="s">
        <v>370</v>
      </c>
      <c r="P5" s="58"/>
      <c r="Q5" s="55" t="s">
        <v>369</v>
      </c>
      <c r="R5" s="58"/>
      <c r="S5" s="58"/>
      <c r="T5" s="58"/>
      <c r="U5" s="55" t="s">
        <v>369</v>
      </c>
      <c r="V5" s="55" t="s">
        <v>369</v>
      </c>
      <c r="W5" s="58"/>
      <c r="X5" s="55" t="s">
        <v>369</v>
      </c>
      <c r="Y5" s="58"/>
      <c r="Z5" s="58"/>
      <c r="AA5" s="58"/>
      <c r="AB5" s="55" t="s">
        <v>369</v>
      </c>
      <c r="AC5" s="57" t="s">
        <v>371</v>
      </c>
      <c r="AD5" s="58"/>
      <c r="AE5" s="56" t="s">
        <v>372</v>
      </c>
    </row>
    <row r="6" customFormat="false" ht="18" hidden="false" customHeight="true" outlineLevel="0" collapsed="false">
      <c r="A6" s="52" t="s">
        <v>373</v>
      </c>
      <c r="B6" s="58"/>
      <c r="C6" s="53" t="s">
        <v>133</v>
      </c>
      <c r="D6" s="53" t="s">
        <v>133</v>
      </c>
      <c r="E6" s="53" t="s">
        <v>133</v>
      </c>
      <c r="F6" s="53" t="s">
        <v>133</v>
      </c>
      <c r="G6" s="58"/>
      <c r="H6" s="58"/>
      <c r="I6" s="53" t="s">
        <v>133</v>
      </c>
      <c r="J6" s="58"/>
      <c r="K6" s="53" t="s">
        <v>133</v>
      </c>
      <c r="L6" s="53" t="s">
        <v>133</v>
      </c>
      <c r="M6" s="53" t="s">
        <v>133</v>
      </c>
      <c r="N6" s="58"/>
      <c r="O6" s="58"/>
      <c r="P6" s="53" t="s">
        <v>133</v>
      </c>
      <c r="Q6" s="58"/>
      <c r="R6" s="53" t="s">
        <v>133</v>
      </c>
      <c r="S6" s="53" t="s">
        <v>133</v>
      </c>
      <c r="T6" s="53" t="s">
        <v>133</v>
      </c>
      <c r="U6" s="58"/>
      <c r="V6" s="58"/>
      <c r="W6" s="53" t="s">
        <v>133</v>
      </c>
      <c r="X6" s="58"/>
      <c r="Y6" s="53" t="s">
        <v>133</v>
      </c>
      <c r="Z6" s="53" t="s">
        <v>133</v>
      </c>
      <c r="AA6" s="53" t="s">
        <v>133</v>
      </c>
      <c r="AB6" s="58"/>
      <c r="AC6" s="58"/>
      <c r="AD6" s="53" t="s">
        <v>133</v>
      </c>
      <c r="AE6" s="58"/>
    </row>
    <row r="7" customFormat="false" ht="57.75" hidden="false" customHeight="true" outlineLevel="0" collapsed="false">
      <c r="A7" s="52" t="s">
        <v>374</v>
      </c>
      <c r="B7" s="58"/>
      <c r="C7" s="54" t="s">
        <v>375</v>
      </c>
      <c r="D7" s="54" t="s">
        <v>376</v>
      </c>
      <c r="E7" s="55" t="s">
        <v>377</v>
      </c>
      <c r="F7" s="55" t="s">
        <v>378</v>
      </c>
      <c r="G7" s="58"/>
      <c r="H7" s="58"/>
      <c r="I7" s="54" t="s">
        <v>379</v>
      </c>
      <c r="J7" s="58"/>
      <c r="K7" s="54" t="s">
        <v>380</v>
      </c>
      <c r="L7" s="54" t="s">
        <v>381</v>
      </c>
      <c r="M7" s="54" t="s">
        <v>382</v>
      </c>
      <c r="N7" s="58"/>
      <c r="O7" s="58"/>
      <c r="P7" s="54" t="s">
        <v>383</v>
      </c>
      <c r="Q7" s="58"/>
      <c r="R7" s="54" t="s">
        <v>384</v>
      </c>
      <c r="S7" s="54" t="s">
        <v>385</v>
      </c>
      <c r="T7" s="54" t="s">
        <v>386</v>
      </c>
      <c r="U7" s="58"/>
      <c r="V7" s="58"/>
      <c r="W7" s="54" t="s">
        <v>387</v>
      </c>
      <c r="X7" s="58"/>
      <c r="Y7" s="54" t="s">
        <v>388</v>
      </c>
      <c r="Z7" s="54" t="s">
        <v>389</v>
      </c>
      <c r="AA7" s="54" t="s">
        <v>390</v>
      </c>
      <c r="AB7" s="58"/>
      <c r="AC7" s="58"/>
      <c r="AD7" s="54" t="s">
        <v>391</v>
      </c>
      <c r="AE7" s="58"/>
    </row>
    <row r="8" customFormat="false" ht="18" hidden="false" customHeight="true" outlineLevel="0" collapsed="false">
      <c r="A8" s="52" t="s">
        <v>392</v>
      </c>
      <c r="B8" s="58"/>
      <c r="C8" s="58"/>
      <c r="D8" s="58"/>
      <c r="E8" s="58"/>
      <c r="F8" s="58"/>
      <c r="G8" s="53" t="s">
        <v>133</v>
      </c>
      <c r="H8" s="53" t="s">
        <v>133</v>
      </c>
      <c r="I8" s="58"/>
      <c r="J8" s="53" t="s">
        <v>133</v>
      </c>
      <c r="K8" s="58"/>
      <c r="L8" s="58"/>
      <c r="M8" s="58"/>
      <c r="N8" s="53" t="s">
        <v>133</v>
      </c>
      <c r="O8" s="53" t="s">
        <v>133</v>
      </c>
      <c r="P8" s="58"/>
      <c r="Q8" s="53" t="s">
        <v>133</v>
      </c>
      <c r="R8" s="58"/>
      <c r="S8" s="58"/>
      <c r="T8" s="58"/>
      <c r="U8" s="53" t="s">
        <v>133</v>
      </c>
      <c r="V8" s="53" t="s">
        <v>133</v>
      </c>
      <c r="W8" s="58"/>
      <c r="X8" s="53" t="s">
        <v>133</v>
      </c>
      <c r="Y8" s="58"/>
      <c r="Z8" s="58"/>
      <c r="AA8" s="58"/>
      <c r="AB8" s="53" t="s">
        <v>133</v>
      </c>
      <c r="AC8" s="53" t="s">
        <v>133</v>
      </c>
      <c r="AD8" s="58"/>
      <c r="AE8" s="53" t="s">
        <v>133</v>
      </c>
    </row>
    <row r="9" customFormat="false" ht="57.75" hidden="false" customHeight="true" outlineLevel="0" collapsed="false">
      <c r="A9" s="52" t="s">
        <v>393</v>
      </c>
      <c r="B9" s="53" t="s">
        <v>133</v>
      </c>
      <c r="C9" s="58"/>
      <c r="D9" s="58"/>
      <c r="E9" s="58"/>
      <c r="F9" s="58"/>
      <c r="G9" s="55" t="s">
        <v>394</v>
      </c>
      <c r="H9" s="55" t="s">
        <v>394</v>
      </c>
      <c r="I9" s="58"/>
      <c r="J9" s="55" t="s">
        <v>394</v>
      </c>
      <c r="K9" s="58"/>
      <c r="L9" s="58"/>
      <c r="M9" s="58"/>
      <c r="N9" s="55" t="s">
        <v>394</v>
      </c>
      <c r="O9" s="57" t="s">
        <v>395</v>
      </c>
      <c r="P9" s="58"/>
      <c r="Q9" s="55" t="s">
        <v>394</v>
      </c>
      <c r="R9" s="58"/>
      <c r="S9" s="58"/>
      <c r="T9" s="58"/>
      <c r="U9" s="55" t="s">
        <v>394</v>
      </c>
      <c r="V9" s="55" t="s">
        <v>394</v>
      </c>
      <c r="W9" s="58"/>
      <c r="X9" s="55" t="s">
        <v>394</v>
      </c>
      <c r="Y9" s="58"/>
      <c r="Z9" s="58"/>
      <c r="AA9" s="58"/>
      <c r="AB9" s="55" t="s">
        <v>394</v>
      </c>
      <c r="AC9" s="57" t="s">
        <v>396</v>
      </c>
      <c r="AD9" s="58"/>
      <c r="AE9" s="56" t="s">
        <v>397</v>
      </c>
    </row>
    <row r="10" customFormat="false" ht="57.75" hidden="false" customHeight="true" outlineLevel="0" collapsed="false">
      <c r="A10" s="52" t="s">
        <v>398</v>
      </c>
      <c r="B10" s="56" t="s">
        <v>399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customFormat="false" ht="18" hidden="false" customHeight="true" outlineLevel="0" collapsed="false">
      <c r="A11" s="52" t="s">
        <v>400</v>
      </c>
      <c r="B11" s="53" t="s">
        <v>136</v>
      </c>
      <c r="C11" s="53" t="s">
        <v>136</v>
      </c>
      <c r="D11" s="53" t="s">
        <v>136</v>
      </c>
      <c r="E11" s="53" t="s">
        <v>136</v>
      </c>
      <c r="F11" s="53" t="s">
        <v>136</v>
      </c>
      <c r="G11" s="58"/>
      <c r="H11" s="58"/>
      <c r="I11" s="53" t="s">
        <v>136</v>
      </c>
      <c r="J11" s="58"/>
      <c r="K11" s="53" t="s">
        <v>136</v>
      </c>
      <c r="L11" s="53" t="s">
        <v>136</v>
      </c>
      <c r="M11" s="53" t="s">
        <v>136</v>
      </c>
      <c r="N11" s="58"/>
      <c r="O11" s="58"/>
      <c r="P11" s="53" t="s">
        <v>136</v>
      </c>
      <c r="Q11" s="58"/>
      <c r="R11" s="53" t="s">
        <v>136</v>
      </c>
      <c r="S11" s="53" t="s">
        <v>136</v>
      </c>
      <c r="T11" s="53" t="s">
        <v>136</v>
      </c>
      <c r="U11" s="58"/>
      <c r="V11" s="58"/>
      <c r="W11" s="53" t="s">
        <v>136</v>
      </c>
      <c r="X11" s="58"/>
      <c r="Y11" s="53" t="s">
        <v>136</v>
      </c>
      <c r="Z11" s="53" t="s">
        <v>136</v>
      </c>
      <c r="AA11" s="53" t="s">
        <v>136</v>
      </c>
      <c r="AB11" s="58"/>
      <c r="AC11" s="58"/>
      <c r="AD11" s="53" t="s">
        <v>136</v>
      </c>
      <c r="AE11" s="58"/>
    </row>
    <row r="12" customFormat="false" ht="18" hidden="false" customHeight="true" outlineLevel="0" collapsed="false">
      <c r="A12" s="52" t="s">
        <v>401</v>
      </c>
      <c r="B12" s="58"/>
      <c r="C12" s="58"/>
      <c r="D12" s="58"/>
      <c r="E12" s="58"/>
      <c r="F12" s="58"/>
      <c r="G12" s="53" t="s">
        <v>136</v>
      </c>
      <c r="H12" s="53" t="s">
        <v>136</v>
      </c>
      <c r="I12" s="58"/>
      <c r="J12" s="53" t="s">
        <v>136</v>
      </c>
      <c r="K12" s="58"/>
      <c r="L12" s="58"/>
      <c r="M12" s="58"/>
      <c r="N12" s="53" t="s">
        <v>136</v>
      </c>
      <c r="O12" s="53" t="s">
        <v>136</v>
      </c>
      <c r="P12" s="58"/>
      <c r="Q12" s="53" t="s">
        <v>136</v>
      </c>
      <c r="R12" s="58"/>
      <c r="S12" s="58"/>
      <c r="T12" s="58"/>
      <c r="U12" s="53" t="s">
        <v>136</v>
      </c>
      <c r="V12" s="53" t="s">
        <v>136</v>
      </c>
      <c r="W12" s="58"/>
      <c r="X12" s="53" t="s">
        <v>136</v>
      </c>
      <c r="Y12" s="58"/>
      <c r="Z12" s="58"/>
      <c r="AA12" s="58"/>
      <c r="AB12" s="53" t="s">
        <v>136</v>
      </c>
      <c r="AC12" s="53" t="s">
        <v>136</v>
      </c>
      <c r="AD12" s="58"/>
      <c r="AE12" s="53" t="s">
        <v>136</v>
      </c>
    </row>
    <row r="13" customFormat="false" ht="57.75" hidden="false" customHeight="true" outlineLevel="0" collapsed="false">
      <c r="A13" s="52" t="s">
        <v>402</v>
      </c>
      <c r="B13" s="57" t="s">
        <v>403</v>
      </c>
      <c r="C13" s="54" t="s">
        <v>404</v>
      </c>
      <c r="D13" s="54" t="s">
        <v>405</v>
      </c>
      <c r="E13" s="55" t="s">
        <v>406</v>
      </c>
      <c r="F13" s="55" t="s">
        <v>407</v>
      </c>
      <c r="G13" s="54" t="s">
        <v>408</v>
      </c>
      <c r="H13" s="54" t="s">
        <v>409</v>
      </c>
      <c r="I13" s="55" t="s">
        <v>410</v>
      </c>
      <c r="J13" s="54" t="s">
        <v>411</v>
      </c>
      <c r="K13" s="55" t="s">
        <v>410</v>
      </c>
      <c r="L13" s="55" t="s">
        <v>410</v>
      </c>
      <c r="M13" s="55" t="s">
        <v>412</v>
      </c>
      <c r="N13" s="54" t="s">
        <v>413</v>
      </c>
      <c r="O13" s="57" t="s">
        <v>414</v>
      </c>
      <c r="P13" s="57" t="s">
        <v>415</v>
      </c>
      <c r="Q13" s="54" t="s">
        <v>416</v>
      </c>
      <c r="R13" s="55" t="s">
        <v>410</v>
      </c>
      <c r="S13" s="55" t="s">
        <v>417</v>
      </c>
      <c r="T13" s="55" t="s">
        <v>418</v>
      </c>
      <c r="U13" s="54" t="s">
        <v>419</v>
      </c>
      <c r="V13" s="54" t="s">
        <v>420</v>
      </c>
      <c r="W13" s="55" t="s">
        <v>410</v>
      </c>
      <c r="X13" s="54" t="s">
        <v>421</v>
      </c>
      <c r="Y13" s="55" t="s">
        <v>410</v>
      </c>
      <c r="Z13" s="55" t="s">
        <v>410</v>
      </c>
      <c r="AA13" s="55" t="s">
        <v>422</v>
      </c>
      <c r="AB13" s="54" t="s">
        <v>423</v>
      </c>
      <c r="AC13" s="57" t="s">
        <v>424</v>
      </c>
      <c r="AD13" s="57" t="s">
        <v>425</v>
      </c>
      <c r="AE13" s="54" t="s">
        <v>426</v>
      </c>
    </row>
    <row r="14" customFormat="false" ht="18" hidden="false" customHeight="true" outlineLevel="0" collapsed="false">
      <c r="A14" s="52" t="s">
        <v>427</v>
      </c>
      <c r="B14" s="53" t="s">
        <v>139</v>
      </c>
      <c r="C14" s="58"/>
      <c r="D14" s="58"/>
      <c r="E14" s="58"/>
      <c r="F14" s="58"/>
      <c r="G14" s="58"/>
      <c r="H14" s="58"/>
      <c r="I14" s="53" t="s">
        <v>139</v>
      </c>
      <c r="J14" s="58"/>
      <c r="K14" s="53" t="s">
        <v>139</v>
      </c>
      <c r="L14" s="53" t="s">
        <v>139</v>
      </c>
      <c r="M14" s="53" t="s">
        <v>139</v>
      </c>
      <c r="N14" s="58"/>
      <c r="O14" s="53" t="s">
        <v>139</v>
      </c>
      <c r="P14" s="58"/>
      <c r="Q14" s="58"/>
      <c r="R14" s="53" t="s">
        <v>139</v>
      </c>
      <c r="S14" s="58"/>
      <c r="T14" s="53" t="s">
        <v>139</v>
      </c>
      <c r="U14" s="58"/>
      <c r="V14" s="58"/>
      <c r="W14" s="53" t="s">
        <v>139</v>
      </c>
      <c r="X14" s="58"/>
      <c r="Y14" s="53" t="s">
        <v>139</v>
      </c>
      <c r="Z14" s="53" t="s">
        <v>139</v>
      </c>
      <c r="AA14" s="58"/>
      <c r="AB14" s="58"/>
      <c r="AC14" s="53" t="s">
        <v>139</v>
      </c>
      <c r="AD14" s="58"/>
      <c r="AE14" s="58"/>
    </row>
    <row r="15" customFormat="false" ht="57.75" hidden="false" customHeight="true" outlineLevel="0" collapsed="false">
      <c r="A15" s="52" t="s">
        <v>428</v>
      </c>
      <c r="B15" s="55" t="s">
        <v>429</v>
      </c>
      <c r="C15" s="58"/>
      <c r="D15" s="58"/>
      <c r="E15" s="58"/>
      <c r="F15" s="58"/>
      <c r="G15" s="58"/>
      <c r="H15" s="58"/>
      <c r="I15" s="55" t="s">
        <v>430</v>
      </c>
      <c r="J15" s="58"/>
      <c r="K15" s="55" t="s">
        <v>430</v>
      </c>
      <c r="L15" s="55" t="s">
        <v>430</v>
      </c>
      <c r="M15" s="55" t="s">
        <v>430</v>
      </c>
      <c r="N15" s="58"/>
      <c r="O15" s="57" t="s">
        <v>431</v>
      </c>
      <c r="P15" s="58"/>
      <c r="Q15" s="58"/>
      <c r="R15" s="55" t="s">
        <v>430</v>
      </c>
      <c r="S15" s="58"/>
      <c r="T15" s="55" t="s">
        <v>430</v>
      </c>
      <c r="U15" s="58"/>
      <c r="V15" s="58"/>
      <c r="W15" s="55" t="s">
        <v>430</v>
      </c>
      <c r="X15" s="58"/>
      <c r="Y15" s="55" t="s">
        <v>430</v>
      </c>
      <c r="Z15" s="55" t="s">
        <v>430</v>
      </c>
      <c r="AA15" s="58"/>
      <c r="AB15" s="58"/>
      <c r="AC15" s="57" t="s">
        <v>432</v>
      </c>
      <c r="AD15" s="58"/>
      <c r="AE15" s="58"/>
    </row>
    <row r="16" customFormat="false" ht="18" hidden="false" customHeight="true" outlineLevel="0" collapsed="false">
      <c r="A16" s="52" t="s">
        <v>433</v>
      </c>
      <c r="B16" s="58"/>
      <c r="C16" s="53" t="s">
        <v>139</v>
      </c>
      <c r="D16" s="53" t="s">
        <v>139</v>
      </c>
      <c r="E16" s="53" t="s">
        <v>139</v>
      </c>
      <c r="F16" s="53" t="s">
        <v>139</v>
      </c>
      <c r="G16" s="53" t="s">
        <v>139</v>
      </c>
      <c r="H16" s="53" t="s">
        <v>139</v>
      </c>
      <c r="I16" s="58"/>
      <c r="J16" s="53" t="s">
        <v>139</v>
      </c>
      <c r="K16" s="58"/>
      <c r="L16" s="58"/>
      <c r="M16" s="58"/>
      <c r="N16" s="53" t="s">
        <v>139</v>
      </c>
      <c r="O16" s="58"/>
      <c r="P16" s="53" t="s">
        <v>139</v>
      </c>
      <c r="Q16" s="53" t="s">
        <v>139</v>
      </c>
      <c r="R16" s="58"/>
      <c r="S16" s="53" t="s">
        <v>139</v>
      </c>
      <c r="T16" s="58"/>
      <c r="U16" s="53" t="s">
        <v>139</v>
      </c>
      <c r="V16" s="53" t="s">
        <v>139</v>
      </c>
      <c r="W16" s="58"/>
      <c r="X16" s="53" t="s">
        <v>139</v>
      </c>
      <c r="Y16" s="58"/>
      <c r="Z16" s="58"/>
      <c r="AA16" s="53" t="s">
        <v>139</v>
      </c>
      <c r="AB16" s="53" t="s">
        <v>139</v>
      </c>
      <c r="AC16" s="58"/>
      <c r="AD16" s="53" t="s">
        <v>139</v>
      </c>
      <c r="AE16" s="53" t="s">
        <v>139</v>
      </c>
    </row>
    <row r="17" customFormat="false" ht="57.75" hidden="false" customHeight="true" outlineLevel="0" collapsed="false">
      <c r="A17" s="52" t="s">
        <v>434</v>
      </c>
      <c r="B17" s="58"/>
      <c r="C17" s="54" t="s">
        <v>435</v>
      </c>
      <c r="D17" s="54" t="s">
        <v>436</v>
      </c>
      <c r="E17" s="55" t="s">
        <v>437</v>
      </c>
      <c r="F17" s="55" t="s">
        <v>438</v>
      </c>
      <c r="G17" s="54" t="s">
        <v>439</v>
      </c>
      <c r="H17" s="54" t="s">
        <v>440</v>
      </c>
      <c r="I17" s="58"/>
      <c r="J17" s="54" t="s">
        <v>441</v>
      </c>
      <c r="K17" s="58"/>
      <c r="L17" s="58"/>
      <c r="M17" s="58"/>
      <c r="N17" s="54" t="s">
        <v>442</v>
      </c>
      <c r="O17" s="58"/>
      <c r="P17" s="57" t="s">
        <v>443</v>
      </c>
      <c r="Q17" s="54" t="s">
        <v>444</v>
      </c>
      <c r="R17" s="58"/>
      <c r="S17" s="55" t="s">
        <v>445</v>
      </c>
      <c r="T17" s="58"/>
      <c r="U17" s="54" t="s">
        <v>446</v>
      </c>
      <c r="V17" s="54" t="s">
        <v>447</v>
      </c>
      <c r="W17" s="58"/>
      <c r="X17" s="54" t="s">
        <v>448</v>
      </c>
      <c r="Y17" s="58"/>
      <c r="Z17" s="58"/>
      <c r="AA17" s="55" t="s">
        <v>445</v>
      </c>
      <c r="AB17" s="54" t="s">
        <v>449</v>
      </c>
      <c r="AC17" s="58"/>
      <c r="AD17" s="57" t="s">
        <v>450</v>
      </c>
      <c r="AE17" s="54" t="s">
        <v>451</v>
      </c>
    </row>
    <row r="18" customFormat="false" ht="18" hidden="false" customHeight="true" outlineLevel="0" collapsed="false">
      <c r="A18" s="52" t="s">
        <v>452</v>
      </c>
      <c r="B18" s="58"/>
      <c r="C18" s="58"/>
      <c r="D18" s="58"/>
      <c r="E18" s="58"/>
      <c r="F18" s="58"/>
      <c r="G18" s="58"/>
      <c r="H18" s="58"/>
      <c r="I18" s="53" t="s">
        <v>139</v>
      </c>
      <c r="J18" s="58"/>
      <c r="K18" s="53" t="s">
        <v>139</v>
      </c>
      <c r="L18" s="53" t="s">
        <v>139</v>
      </c>
      <c r="M18" s="53" t="s">
        <v>139</v>
      </c>
      <c r="N18" s="58"/>
      <c r="O18" s="58"/>
      <c r="P18" s="58"/>
      <c r="Q18" s="58"/>
      <c r="R18" s="53" t="s">
        <v>139</v>
      </c>
      <c r="S18" s="58"/>
      <c r="T18" s="53" t="s">
        <v>139</v>
      </c>
      <c r="U18" s="58"/>
      <c r="V18" s="58"/>
      <c r="W18" s="53" t="s">
        <v>139</v>
      </c>
      <c r="X18" s="58"/>
      <c r="Y18" s="53" t="s">
        <v>139</v>
      </c>
      <c r="Z18" s="53" t="s">
        <v>139</v>
      </c>
      <c r="AA18" s="58"/>
      <c r="AB18" s="58"/>
      <c r="AC18" s="58"/>
      <c r="AD18" s="58"/>
      <c r="AE18" s="58"/>
    </row>
    <row r="19" customFormat="false" ht="57.75" hidden="false" customHeight="true" outlineLevel="0" collapsed="false">
      <c r="A19" s="52" t="s">
        <v>453</v>
      </c>
      <c r="B19" s="58"/>
      <c r="C19" s="59" t="s">
        <v>454</v>
      </c>
      <c r="D19" s="59" t="s">
        <v>454</v>
      </c>
      <c r="E19" s="59" t="s">
        <v>455</v>
      </c>
      <c r="F19" s="59" t="s">
        <v>456</v>
      </c>
      <c r="G19" s="59" t="s">
        <v>454</v>
      </c>
      <c r="H19" s="59" t="s">
        <v>454</v>
      </c>
      <c r="I19" s="59" t="s">
        <v>455</v>
      </c>
      <c r="J19" s="59" t="s">
        <v>454</v>
      </c>
      <c r="K19" s="59" t="s">
        <v>455</v>
      </c>
      <c r="L19" s="59" t="s">
        <v>455</v>
      </c>
      <c r="M19" s="59" t="s">
        <v>455</v>
      </c>
      <c r="N19" s="59" t="s">
        <v>454</v>
      </c>
      <c r="O19" s="58"/>
      <c r="P19" s="59" t="s">
        <v>454</v>
      </c>
      <c r="Q19" s="59" t="s">
        <v>454</v>
      </c>
      <c r="R19" s="59" t="s">
        <v>455</v>
      </c>
      <c r="S19" s="59" t="s">
        <v>455</v>
      </c>
      <c r="T19" s="59" t="s">
        <v>455</v>
      </c>
      <c r="U19" s="59" t="s">
        <v>454</v>
      </c>
      <c r="V19" s="59" t="s">
        <v>454</v>
      </c>
      <c r="W19" s="59" t="s">
        <v>455</v>
      </c>
      <c r="X19" s="59" t="s">
        <v>454</v>
      </c>
      <c r="Y19" s="59" t="s">
        <v>455</v>
      </c>
      <c r="Z19" s="59" t="s">
        <v>455</v>
      </c>
      <c r="AA19" s="59" t="s">
        <v>455</v>
      </c>
      <c r="AB19" s="59" t="s">
        <v>454</v>
      </c>
      <c r="AC19" s="58"/>
      <c r="AD19" s="59" t="s">
        <v>454</v>
      </c>
      <c r="AE19" s="59" t="s">
        <v>454</v>
      </c>
    </row>
    <row r="20" customFormat="false" ht="57.75" hidden="false" customHeight="true" outlineLevel="0" collapsed="false">
      <c r="A20" s="52" t="s">
        <v>457</v>
      </c>
      <c r="B20" s="56" t="s">
        <v>458</v>
      </c>
      <c r="C20" s="58"/>
      <c r="D20" s="58"/>
      <c r="E20" s="58"/>
      <c r="F20" s="56" t="s">
        <v>459</v>
      </c>
      <c r="G20" s="58"/>
      <c r="H20" s="58"/>
      <c r="I20" s="58"/>
      <c r="J20" s="58"/>
      <c r="K20" s="58"/>
      <c r="L20" s="56" t="s">
        <v>460</v>
      </c>
      <c r="M20" s="58"/>
      <c r="N20" s="58"/>
      <c r="O20" s="58"/>
      <c r="P20" s="58"/>
      <c r="Q20" s="58"/>
      <c r="R20" s="56" t="s">
        <v>461</v>
      </c>
      <c r="S20" s="58"/>
      <c r="T20" s="58"/>
      <c r="U20" s="58"/>
      <c r="V20" s="58"/>
      <c r="W20" s="58"/>
      <c r="X20" s="56" t="s">
        <v>462</v>
      </c>
      <c r="Y20" s="58"/>
      <c r="Z20" s="58"/>
      <c r="AA20" s="58"/>
      <c r="AB20" s="58"/>
      <c r="AC20" s="58"/>
      <c r="AD20" s="58"/>
      <c r="AE20" s="56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4" t="s">
        <v>120</v>
      </c>
      <c r="B1" s="4" t="s">
        <v>111</v>
      </c>
      <c r="C1" s="4" t="s">
        <v>122</v>
      </c>
      <c r="D1" s="4" t="s">
        <v>464</v>
      </c>
      <c r="E1" s="4" t="s">
        <v>465</v>
      </c>
      <c r="F1" s="4" t="s">
        <v>466</v>
      </c>
      <c r="G1" s="4" t="s">
        <v>467</v>
      </c>
    </row>
    <row r="2" customFormat="false" ht="61.5" hidden="false" customHeight="true" outlineLevel="0" collapsed="false">
      <c r="A2" s="39" t="n">
        <v>1</v>
      </c>
      <c r="B2" s="60" t="n">
        <v>46325</v>
      </c>
      <c r="C2" s="39" t="n">
        <f aca="false">INT((A2-1)/6)+1</f>
        <v>1</v>
      </c>
      <c r="D2" s="39" t="s">
        <v>468</v>
      </c>
      <c r="E2" s="39" t="s">
        <v>469</v>
      </c>
      <c r="F2" s="39" t="s">
        <v>470</v>
      </c>
      <c r="G2" s="39" t="s">
        <v>471</v>
      </c>
    </row>
    <row r="3" customFormat="false" ht="61.5" hidden="false" customHeight="true" outlineLevel="0" collapsed="false">
      <c r="A3" s="39" t="n">
        <v>2</v>
      </c>
      <c r="B3" s="60" t="n">
        <v>46326</v>
      </c>
      <c r="C3" s="39" t="n">
        <f aca="false">INT((A3-1)/6)+1</f>
        <v>1</v>
      </c>
      <c r="D3" s="39" t="s">
        <v>472</v>
      </c>
      <c r="E3" s="39" t="s">
        <v>473</v>
      </c>
      <c r="F3" s="39" t="s">
        <v>474</v>
      </c>
      <c r="G3" s="39" t="s">
        <v>150</v>
      </c>
    </row>
    <row r="4" customFormat="false" ht="61.5" hidden="false" customHeight="true" outlineLevel="0" collapsed="false">
      <c r="A4" s="39" t="n">
        <v>3</v>
      </c>
      <c r="B4" s="60" t="n">
        <v>46327</v>
      </c>
      <c r="C4" s="39" t="n">
        <f aca="false">INT((A4-1)/6)+1</f>
        <v>1</v>
      </c>
      <c r="D4" s="39" t="s">
        <v>475</v>
      </c>
      <c r="E4" s="39" t="s">
        <v>473</v>
      </c>
      <c r="F4" s="39" t="s">
        <v>476</v>
      </c>
      <c r="G4" s="39" t="s">
        <v>155</v>
      </c>
    </row>
    <row r="5" customFormat="false" ht="61.5" hidden="false" customHeight="true" outlineLevel="0" collapsed="false">
      <c r="A5" s="39" t="n">
        <v>4</v>
      </c>
      <c r="B5" s="60" t="n">
        <v>46328</v>
      </c>
      <c r="C5" s="39" t="n">
        <f aca="false">INT((A5-1)/6)+1</f>
        <v>1</v>
      </c>
      <c r="D5" s="39" t="s">
        <v>477</v>
      </c>
      <c r="E5" s="39" t="s">
        <v>478</v>
      </c>
      <c r="F5" s="39" t="s">
        <v>470</v>
      </c>
      <c r="G5" s="39" t="s">
        <v>471</v>
      </c>
    </row>
    <row r="6" customFormat="false" ht="61.5" hidden="false" customHeight="true" outlineLevel="0" collapsed="false">
      <c r="A6" s="39" t="n">
        <v>5</v>
      </c>
      <c r="B6" s="60" t="n">
        <v>46329</v>
      </c>
      <c r="C6" s="39" t="n">
        <f aca="false">INT((A6-1)/6)+1</f>
        <v>1</v>
      </c>
      <c r="D6" s="39" t="s">
        <v>479</v>
      </c>
      <c r="E6" s="39" t="s">
        <v>480</v>
      </c>
      <c r="F6" s="39" t="s">
        <v>470</v>
      </c>
      <c r="G6" s="39" t="s">
        <v>471</v>
      </c>
    </row>
    <row r="7" customFormat="false" ht="61.5" hidden="false" customHeight="true" outlineLevel="0" collapsed="false">
      <c r="A7" s="39" t="n">
        <v>6</v>
      </c>
      <c r="B7" s="60" t="n">
        <v>46330</v>
      </c>
      <c r="C7" s="39" t="n">
        <f aca="false">INT((A7-1)/6)+1</f>
        <v>1</v>
      </c>
      <c r="D7" s="39" t="s">
        <v>481</v>
      </c>
      <c r="E7" s="39" t="s">
        <v>482</v>
      </c>
      <c r="F7" s="39" t="s">
        <v>483</v>
      </c>
      <c r="G7" s="39" t="s">
        <v>183</v>
      </c>
    </row>
    <row r="8" customFormat="false" ht="61.5" hidden="false" customHeight="true" outlineLevel="0" collapsed="false">
      <c r="A8" s="39" t="n">
        <v>7</v>
      </c>
      <c r="B8" s="60" t="n">
        <v>46331</v>
      </c>
      <c r="C8" s="39" t="n">
        <f aca="false">INT((A8-1)/6)+1</f>
        <v>2</v>
      </c>
      <c r="D8" s="39" t="s">
        <v>484</v>
      </c>
      <c r="E8" s="39" t="s">
        <v>485</v>
      </c>
      <c r="F8" s="39" t="s">
        <v>486</v>
      </c>
      <c r="G8" s="39" t="s">
        <v>188</v>
      </c>
    </row>
    <row r="9" customFormat="false" ht="61.5" hidden="false" customHeight="true" outlineLevel="0" collapsed="false">
      <c r="A9" s="39" t="n">
        <v>8</v>
      </c>
      <c r="B9" s="60" t="n">
        <v>46332</v>
      </c>
      <c r="C9" s="39" t="n">
        <f aca="false">INT((A9-1)/6)+1</f>
        <v>2</v>
      </c>
      <c r="D9" s="39" t="s">
        <v>487</v>
      </c>
      <c r="E9" s="39" t="s">
        <v>488</v>
      </c>
      <c r="F9" s="39" t="s">
        <v>489</v>
      </c>
      <c r="G9" s="39" t="s">
        <v>195</v>
      </c>
    </row>
    <row r="10" customFormat="false" ht="61.5" hidden="false" customHeight="true" outlineLevel="0" collapsed="false">
      <c r="A10" s="39" t="n">
        <v>9</v>
      </c>
      <c r="B10" s="60" t="n">
        <v>46333</v>
      </c>
      <c r="C10" s="39" t="n">
        <f aca="false">INT((A10-1)/6)+1</f>
        <v>2</v>
      </c>
      <c r="D10" s="39" t="s">
        <v>490</v>
      </c>
      <c r="E10" s="39" t="s">
        <v>491</v>
      </c>
      <c r="F10" s="39" t="s">
        <v>492</v>
      </c>
      <c r="G10" s="39" t="s">
        <v>201</v>
      </c>
    </row>
    <row r="11" customFormat="false" ht="61.5" hidden="false" customHeight="true" outlineLevel="0" collapsed="false">
      <c r="A11" s="39" t="n">
        <v>10</v>
      </c>
      <c r="B11" s="60" t="n">
        <v>46334</v>
      </c>
      <c r="C11" s="39" t="n">
        <f aca="false">INT((A11-1)/6)+1</f>
        <v>2</v>
      </c>
      <c r="D11" s="39" t="s">
        <v>493</v>
      </c>
      <c r="E11" s="39" t="s">
        <v>494</v>
      </c>
      <c r="F11" s="39" t="s">
        <v>495</v>
      </c>
      <c r="G11" s="39" t="s">
        <v>206</v>
      </c>
    </row>
    <row r="12" customFormat="false" ht="61.5" hidden="false" customHeight="true" outlineLevel="0" collapsed="false">
      <c r="A12" s="39" t="n">
        <v>11</v>
      </c>
      <c r="B12" s="60" t="n">
        <v>46335</v>
      </c>
      <c r="C12" s="39" t="n">
        <f aca="false">INT((A12-1)/6)+1</f>
        <v>2</v>
      </c>
      <c r="D12" s="39" t="s">
        <v>496</v>
      </c>
      <c r="E12" s="39" t="s">
        <v>497</v>
      </c>
      <c r="F12" s="39" t="s">
        <v>498</v>
      </c>
      <c r="G12" s="39" t="s">
        <v>211</v>
      </c>
    </row>
    <row r="13" customFormat="false" ht="61.5" hidden="false" customHeight="true" outlineLevel="0" collapsed="false">
      <c r="A13" s="39" t="n">
        <v>12</v>
      </c>
      <c r="B13" s="60" t="n">
        <v>46336</v>
      </c>
      <c r="C13" s="39" t="n">
        <f aca="false">INT((A13-1)/6)+1</f>
        <v>2</v>
      </c>
      <c r="D13" s="39" t="s">
        <v>499</v>
      </c>
      <c r="E13" s="39" t="s">
        <v>500</v>
      </c>
      <c r="F13" s="39" t="s">
        <v>501</v>
      </c>
      <c r="G13" s="39" t="s">
        <v>219</v>
      </c>
    </row>
    <row r="14" customFormat="false" ht="61.5" hidden="false" customHeight="true" outlineLevel="0" collapsed="false">
      <c r="A14" s="39" t="n">
        <v>13</v>
      </c>
      <c r="B14" s="60" t="n">
        <v>46337</v>
      </c>
      <c r="C14" s="39" t="n">
        <f aca="false">INT((A14-1)/6)+1</f>
        <v>3</v>
      </c>
      <c r="D14" s="39" t="s">
        <v>502</v>
      </c>
      <c r="E14" s="39" t="s">
        <v>503</v>
      </c>
      <c r="F14" s="39" t="s">
        <v>504</v>
      </c>
      <c r="G14" s="39" t="s">
        <v>224</v>
      </c>
    </row>
    <row r="15" customFormat="false" ht="61.5" hidden="false" customHeight="true" outlineLevel="0" collapsed="false">
      <c r="A15" s="39" t="n">
        <v>14</v>
      </c>
      <c r="B15" s="60" t="n">
        <v>46338</v>
      </c>
      <c r="C15" s="39" t="n">
        <f aca="false">INT((A15-1)/6)+1</f>
        <v>3</v>
      </c>
      <c r="D15" s="39" t="s">
        <v>505</v>
      </c>
      <c r="E15" s="39" t="s">
        <v>506</v>
      </c>
      <c r="F15" s="39" t="s">
        <v>470</v>
      </c>
      <c r="G15" s="39" t="s">
        <v>471</v>
      </c>
    </row>
    <row r="16" customFormat="false" ht="61.5" hidden="false" customHeight="true" outlineLevel="0" collapsed="false">
      <c r="A16" s="39" t="n">
        <v>15</v>
      </c>
      <c r="B16" s="60" t="n">
        <v>46339</v>
      </c>
      <c r="C16" s="39" t="n">
        <f aca="false">INT((A16-1)/6)+1</f>
        <v>3</v>
      </c>
      <c r="D16" s="39" t="s">
        <v>507</v>
      </c>
      <c r="E16" s="39" t="s">
        <v>473</v>
      </c>
      <c r="F16" s="39" t="s">
        <v>508</v>
      </c>
      <c r="G16" s="39" t="s">
        <v>234</v>
      </c>
    </row>
    <row r="17" customFormat="false" ht="61.5" hidden="false" customHeight="true" outlineLevel="0" collapsed="false">
      <c r="A17" s="39" t="n">
        <v>16</v>
      </c>
      <c r="B17" s="60" t="n">
        <v>46340</v>
      </c>
      <c r="C17" s="39" t="n">
        <f aca="false">INT((A17-1)/6)+1</f>
        <v>3</v>
      </c>
      <c r="D17" s="39" t="s">
        <v>509</v>
      </c>
      <c r="E17" s="39" t="s">
        <v>510</v>
      </c>
      <c r="F17" s="39" t="s">
        <v>511</v>
      </c>
      <c r="G17" s="39" t="s">
        <v>240</v>
      </c>
    </row>
    <row r="18" customFormat="false" ht="61.5" hidden="false" customHeight="true" outlineLevel="0" collapsed="false">
      <c r="A18" s="39" t="n">
        <v>17</v>
      </c>
      <c r="B18" s="60" t="n">
        <v>46341</v>
      </c>
      <c r="C18" s="39" t="n">
        <f aca="false">INT((A18-1)/6)+1</f>
        <v>3</v>
      </c>
      <c r="D18" s="39" t="s">
        <v>512</v>
      </c>
      <c r="E18" s="39" t="s">
        <v>513</v>
      </c>
      <c r="F18" s="39" t="s">
        <v>514</v>
      </c>
      <c r="G18" s="39" t="s">
        <v>245</v>
      </c>
    </row>
    <row r="19" customFormat="false" ht="61.5" hidden="false" customHeight="true" outlineLevel="0" collapsed="false">
      <c r="A19" s="39" t="n">
        <v>18</v>
      </c>
      <c r="B19" s="60" t="n">
        <v>46342</v>
      </c>
      <c r="C19" s="39" t="n">
        <f aca="false">INT((A19-1)/6)+1</f>
        <v>3</v>
      </c>
      <c r="D19" s="39" t="s">
        <v>515</v>
      </c>
      <c r="E19" s="39" t="s">
        <v>516</v>
      </c>
      <c r="F19" s="39" t="s">
        <v>517</v>
      </c>
      <c r="G19" s="39" t="s">
        <v>518</v>
      </c>
    </row>
    <row r="20" customFormat="false" ht="61.5" hidden="false" customHeight="true" outlineLevel="0" collapsed="false">
      <c r="A20" s="39" t="n">
        <v>19</v>
      </c>
      <c r="B20" s="60" t="n">
        <v>46343</v>
      </c>
      <c r="C20" s="39" t="n">
        <f aca="false">INT((A20-1)/6)+1</f>
        <v>4</v>
      </c>
      <c r="D20" s="39" t="s">
        <v>519</v>
      </c>
      <c r="E20" s="39" t="s">
        <v>520</v>
      </c>
      <c r="F20" s="39" t="s">
        <v>521</v>
      </c>
      <c r="G20" s="39" t="s">
        <v>258</v>
      </c>
    </row>
    <row r="21" customFormat="false" ht="61.5" hidden="false" customHeight="true" outlineLevel="0" collapsed="false">
      <c r="A21" s="39" t="n">
        <v>20</v>
      </c>
      <c r="B21" s="60" t="n">
        <v>46344</v>
      </c>
      <c r="C21" s="39" t="n">
        <f aca="false">INT((A21-1)/6)+1</f>
        <v>4</v>
      </c>
      <c r="D21" s="39" t="s">
        <v>522</v>
      </c>
      <c r="E21" s="39" t="s">
        <v>523</v>
      </c>
      <c r="F21" s="39" t="s">
        <v>524</v>
      </c>
      <c r="G21" s="39" t="s">
        <v>263</v>
      </c>
    </row>
    <row r="22" customFormat="false" ht="61.5" hidden="false" customHeight="true" outlineLevel="0" collapsed="false">
      <c r="A22" s="39" t="n">
        <v>21</v>
      </c>
      <c r="B22" s="60" t="n">
        <v>46345</v>
      </c>
      <c r="C22" s="39" t="n">
        <f aca="false">INT((A22-1)/6)+1</f>
        <v>4</v>
      </c>
      <c r="D22" s="39" t="s">
        <v>525</v>
      </c>
      <c r="E22" s="39" t="s">
        <v>526</v>
      </c>
      <c r="F22" s="39" t="s">
        <v>527</v>
      </c>
      <c r="G22" s="39" t="s">
        <v>268</v>
      </c>
    </row>
    <row r="23" customFormat="false" ht="61.5" hidden="false" customHeight="true" outlineLevel="0" collapsed="false">
      <c r="A23" s="39" t="n">
        <v>22</v>
      </c>
      <c r="B23" s="60" t="n">
        <v>46346</v>
      </c>
      <c r="C23" s="39" t="n">
        <f aca="false">INT((A23-1)/6)+1</f>
        <v>4</v>
      </c>
      <c r="D23" s="39" t="s">
        <v>528</v>
      </c>
      <c r="E23" s="39" t="s">
        <v>529</v>
      </c>
      <c r="F23" s="39" t="s">
        <v>530</v>
      </c>
      <c r="G23" s="39" t="s">
        <v>273</v>
      </c>
    </row>
    <row r="24" customFormat="false" ht="61.5" hidden="false" customHeight="true" outlineLevel="0" collapsed="false">
      <c r="A24" s="39" t="n">
        <v>23</v>
      </c>
      <c r="B24" s="60" t="n">
        <v>46347</v>
      </c>
      <c r="C24" s="39" t="n">
        <f aca="false">INT((A24-1)/6)+1</f>
        <v>4</v>
      </c>
      <c r="D24" s="39" t="s">
        <v>531</v>
      </c>
      <c r="E24" s="39" t="s">
        <v>532</v>
      </c>
      <c r="F24" s="39" t="s">
        <v>533</v>
      </c>
      <c r="G24" s="39" t="s">
        <v>279</v>
      </c>
    </row>
    <row r="25" customFormat="false" ht="61.5" hidden="false" customHeight="true" outlineLevel="0" collapsed="false">
      <c r="A25" s="39" t="n">
        <v>24</v>
      </c>
      <c r="B25" s="60" t="n">
        <v>46348</v>
      </c>
      <c r="C25" s="39" t="n">
        <f aca="false">INT((A25-1)/6)+1</f>
        <v>4</v>
      </c>
      <c r="D25" s="39" t="s">
        <v>534</v>
      </c>
      <c r="E25" s="39" t="s">
        <v>535</v>
      </c>
      <c r="F25" s="39" t="s">
        <v>536</v>
      </c>
      <c r="G25" s="39" t="s">
        <v>285</v>
      </c>
    </row>
    <row r="26" customFormat="false" ht="61.5" hidden="false" customHeight="true" outlineLevel="0" collapsed="false">
      <c r="A26" s="39" t="n">
        <v>25</v>
      </c>
      <c r="B26" s="60" t="n">
        <v>46349</v>
      </c>
      <c r="C26" s="39" t="n">
        <f aca="false">INT((A26-1)/6)+1</f>
        <v>5</v>
      </c>
      <c r="D26" s="39" t="s">
        <v>537</v>
      </c>
      <c r="E26" s="39" t="s">
        <v>538</v>
      </c>
      <c r="F26" s="39" t="s">
        <v>539</v>
      </c>
      <c r="G26" s="39" t="s">
        <v>290</v>
      </c>
    </row>
    <row r="27" customFormat="false" ht="61.5" hidden="false" customHeight="true" outlineLevel="0" collapsed="false">
      <c r="A27" s="39" t="n">
        <v>26</v>
      </c>
      <c r="B27" s="60" t="n">
        <v>46350</v>
      </c>
      <c r="C27" s="39" t="n">
        <f aca="false">INT((A27-1)/6)+1</f>
        <v>5</v>
      </c>
      <c r="D27" s="39" t="s">
        <v>540</v>
      </c>
      <c r="E27" s="39" t="s">
        <v>541</v>
      </c>
      <c r="F27" s="39" t="s">
        <v>542</v>
      </c>
      <c r="G27" s="39" t="s">
        <v>543</v>
      </c>
    </row>
    <row r="28" customFormat="false" ht="61.5" hidden="false" customHeight="true" outlineLevel="0" collapsed="false">
      <c r="A28" s="39" t="n">
        <v>27</v>
      </c>
      <c r="B28" s="60" t="n">
        <v>46351</v>
      </c>
      <c r="C28" s="39" t="n">
        <f aca="false">INT((A28-1)/6)+1</f>
        <v>5</v>
      </c>
      <c r="D28" s="39" t="s">
        <v>544</v>
      </c>
      <c r="E28" s="39" t="s">
        <v>545</v>
      </c>
      <c r="F28" s="39" t="s">
        <v>546</v>
      </c>
      <c r="G28" s="39" t="s">
        <v>299</v>
      </c>
    </row>
    <row r="29" customFormat="false" ht="61.5" hidden="false" customHeight="true" outlineLevel="0" collapsed="false">
      <c r="A29" s="39" t="n">
        <v>28</v>
      </c>
      <c r="B29" s="60" t="n">
        <v>46352</v>
      </c>
      <c r="C29" s="39" t="n">
        <f aca="false">INT((A29-1)/6)+1</f>
        <v>5</v>
      </c>
      <c r="D29" s="39" t="s">
        <v>547</v>
      </c>
      <c r="E29" s="39" t="s">
        <v>548</v>
      </c>
      <c r="F29" s="39" t="s">
        <v>470</v>
      </c>
      <c r="G29" s="39" t="s">
        <v>471</v>
      </c>
    </row>
    <row r="30" customFormat="false" ht="61.5" hidden="false" customHeight="true" outlineLevel="0" collapsed="false">
      <c r="A30" s="39" t="n">
        <v>29</v>
      </c>
      <c r="B30" s="60" t="n">
        <v>46353</v>
      </c>
      <c r="C30" s="39" t="n">
        <f aca="false">INT((A30-1)/6)+1</f>
        <v>5</v>
      </c>
      <c r="D30" s="39" t="s">
        <v>549</v>
      </c>
      <c r="E30" s="39" t="s">
        <v>473</v>
      </c>
      <c r="F30" s="39" t="s">
        <v>550</v>
      </c>
      <c r="G30" s="39" t="s">
        <v>308</v>
      </c>
    </row>
    <row r="31" customFormat="false" ht="61.5" hidden="false" customHeight="true" outlineLevel="0" collapsed="false">
      <c r="A31" s="39" t="n">
        <v>30</v>
      </c>
      <c r="B31" s="60" t="n">
        <v>46354</v>
      </c>
      <c r="C31" s="39" t="n">
        <f aca="false">INT((A31-1)/6)+1</f>
        <v>5</v>
      </c>
      <c r="D31" s="39" t="s">
        <v>551</v>
      </c>
      <c r="E31" s="39" t="s">
        <v>552</v>
      </c>
      <c r="F31" s="39" t="s">
        <v>553</v>
      </c>
      <c r="G31" s="39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554</v>
      </c>
    </row>
    <row r="3" customFormat="false" ht="15" hidden="false" customHeight="false" outlineLevel="0" collapsed="false">
      <c r="A3" s="3" t="s">
        <v>555</v>
      </c>
      <c r="B3" s="3" t="n">
        <f aca="false">COUNT(A6:A17)</f>
        <v>12</v>
      </c>
      <c r="D3" s="3" t="s">
        <v>556</v>
      </c>
      <c r="E3" s="61" t="n">
        <f aca="false">SUM(F6:F17)</f>
        <v>36</v>
      </c>
      <c r="G3" s="2" t="s">
        <v>557</v>
      </c>
    </row>
    <row r="5" customFormat="false" ht="15" hidden="false" customHeight="false" outlineLevel="0" collapsed="false">
      <c r="A5" s="4" t="s">
        <v>120</v>
      </c>
      <c r="B5" s="4" t="s">
        <v>111</v>
      </c>
      <c r="C5" s="4" t="s">
        <v>126</v>
      </c>
      <c r="D5" s="4" t="s">
        <v>123</v>
      </c>
      <c r="E5" s="4" t="s">
        <v>124</v>
      </c>
      <c r="F5" s="4" t="s">
        <v>5</v>
      </c>
      <c r="G5" s="4" t="s">
        <v>558</v>
      </c>
      <c r="H5" s="4" t="s">
        <v>127</v>
      </c>
    </row>
    <row r="6" customFormat="false" ht="33" hidden="false" customHeight="true" outlineLevel="0" collapsed="false">
      <c r="A6" s="33" t="n">
        <v>6</v>
      </c>
      <c r="B6" s="62" t="n">
        <v>46330</v>
      </c>
      <c r="C6" s="33" t="s">
        <v>559</v>
      </c>
      <c r="D6" s="35" t="n">
        <v>0.375</v>
      </c>
      <c r="E6" s="35" t="n">
        <v>0.5</v>
      </c>
      <c r="F6" s="36" t="n">
        <f aca="false">ROUND((E6-D6)*24,2)</f>
        <v>3</v>
      </c>
      <c r="G6" s="39" t="s">
        <v>560</v>
      </c>
      <c r="H6" s="45" t="s">
        <v>31</v>
      </c>
    </row>
    <row r="7" customFormat="false" ht="33" hidden="false" customHeight="true" outlineLevel="0" collapsed="false">
      <c r="A7" s="33" t="n">
        <v>7</v>
      </c>
      <c r="B7" s="62" t="n">
        <v>46331</v>
      </c>
      <c r="C7" s="33" t="s">
        <v>559</v>
      </c>
      <c r="D7" s="35" t="n">
        <v>0.375</v>
      </c>
      <c r="E7" s="35" t="n">
        <v>0.5</v>
      </c>
      <c r="F7" s="36" t="n">
        <f aca="false">ROUND((E7-D7)*24,2)</f>
        <v>3</v>
      </c>
      <c r="G7" s="39" t="s">
        <v>560</v>
      </c>
      <c r="H7" s="45" t="s">
        <v>31</v>
      </c>
    </row>
    <row r="8" customFormat="false" ht="33" hidden="false" customHeight="true" outlineLevel="0" collapsed="false">
      <c r="A8" s="33" t="n">
        <v>9</v>
      </c>
      <c r="B8" s="62" t="n">
        <v>46333</v>
      </c>
      <c r="C8" s="33" t="s">
        <v>559</v>
      </c>
      <c r="D8" s="35" t="n">
        <v>0.375</v>
      </c>
      <c r="E8" s="35" t="n">
        <v>0.5</v>
      </c>
      <c r="F8" s="36" t="n">
        <f aca="false">ROUND((E8-D8)*24,2)</f>
        <v>3</v>
      </c>
      <c r="G8" s="39" t="s">
        <v>560</v>
      </c>
      <c r="H8" s="45" t="s">
        <v>31</v>
      </c>
    </row>
    <row r="9" customFormat="false" ht="33" hidden="false" customHeight="true" outlineLevel="0" collapsed="false">
      <c r="A9" s="33" t="n">
        <v>13</v>
      </c>
      <c r="B9" s="62" t="n">
        <v>46337</v>
      </c>
      <c r="C9" s="33" t="s">
        <v>559</v>
      </c>
      <c r="D9" s="35" t="n">
        <v>0.375</v>
      </c>
      <c r="E9" s="35" t="n">
        <v>0.5</v>
      </c>
      <c r="F9" s="36" t="n">
        <f aca="false">ROUND((E9-D9)*24,2)</f>
        <v>3</v>
      </c>
      <c r="G9" s="39" t="s">
        <v>560</v>
      </c>
      <c r="H9" s="45" t="s">
        <v>31</v>
      </c>
    </row>
    <row r="10" customFormat="false" ht="33" hidden="false" customHeight="true" outlineLevel="0" collapsed="false">
      <c r="A10" s="33" t="n">
        <v>14</v>
      </c>
      <c r="B10" s="62" t="n">
        <v>46338</v>
      </c>
      <c r="C10" s="33" t="s">
        <v>559</v>
      </c>
      <c r="D10" s="35" t="n">
        <v>0.375</v>
      </c>
      <c r="E10" s="35" t="n">
        <v>0.5</v>
      </c>
      <c r="F10" s="36" t="n">
        <f aca="false">ROUND((E10-D10)*24,2)</f>
        <v>3</v>
      </c>
      <c r="G10" s="39" t="s">
        <v>561</v>
      </c>
      <c r="H10" s="41" t="s">
        <v>35</v>
      </c>
    </row>
    <row r="11" customFormat="false" ht="33" hidden="false" customHeight="true" outlineLevel="0" collapsed="false">
      <c r="A11" s="33" t="n">
        <v>16</v>
      </c>
      <c r="B11" s="62" t="n">
        <v>46340</v>
      </c>
      <c r="C11" s="33" t="s">
        <v>559</v>
      </c>
      <c r="D11" s="35" t="n">
        <v>0.375</v>
      </c>
      <c r="E11" s="35" t="n">
        <v>0.5</v>
      </c>
      <c r="F11" s="36" t="n">
        <f aca="false">ROUND((E11-D11)*24,2)</f>
        <v>3</v>
      </c>
      <c r="G11" s="39" t="s">
        <v>560</v>
      </c>
      <c r="H11" s="45" t="s">
        <v>31</v>
      </c>
    </row>
    <row r="12" customFormat="false" ht="33" hidden="false" customHeight="true" outlineLevel="0" collapsed="false">
      <c r="A12" s="33" t="n">
        <v>20</v>
      </c>
      <c r="B12" s="62" t="n">
        <v>46344</v>
      </c>
      <c r="C12" s="33" t="s">
        <v>559</v>
      </c>
      <c r="D12" s="35" t="n">
        <v>0.375</v>
      </c>
      <c r="E12" s="35" t="n">
        <v>0.5</v>
      </c>
      <c r="F12" s="36" t="n">
        <f aca="false">ROUND((E12-D12)*24,2)</f>
        <v>3</v>
      </c>
      <c r="G12" s="39" t="s">
        <v>560</v>
      </c>
      <c r="H12" s="45" t="s">
        <v>31</v>
      </c>
    </row>
    <row r="13" customFormat="false" ht="33" hidden="false" customHeight="true" outlineLevel="0" collapsed="false">
      <c r="A13" s="33" t="n">
        <v>21</v>
      </c>
      <c r="B13" s="62" t="n">
        <v>46345</v>
      </c>
      <c r="C13" s="33" t="s">
        <v>559</v>
      </c>
      <c r="D13" s="35" t="n">
        <v>0.375</v>
      </c>
      <c r="E13" s="35" t="n">
        <v>0.5</v>
      </c>
      <c r="F13" s="36" t="n">
        <f aca="false">ROUND((E13-D13)*24,2)</f>
        <v>3</v>
      </c>
      <c r="G13" s="39" t="s">
        <v>560</v>
      </c>
      <c r="H13" s="45" t="s">
        <v>31</v>
      </c>
    </row>
    <row r="14" customFormat="false" ht="33" hidden="false" customHeight="true" outlineLevel="0" collapsed="false">
      <c r="A14" s="33" t="n">
        <v>23</v>
      </c>
      <c r="B14" s="62" t="n">
        <v>46347</v>
      </c>
      <c r="C14" s="33" t="s">
        <v>559</v>
      </c>
      <c r="D14" s="35" t="n">
        <v>0.375</v>
      </c>
      <c r="E14" s="35" t="n">
        <v>0.5</v>
      </c>
      <c r="F14" s="36" t="n">
        <f aca="false">ROUND((E14-D14)*24,2)</f>
        <v>3</v>
      </c>
      <c r="G14" s="39" t="s">
        <v>560</v>
      </c>
      <c r="H14" s="45" t="s">
        <v>31</v>
      </c>
    </row>
    <row r="15" customFormat="false" ht="33" hidden="false" customHeight="true" outlineLevel="0" collapsed="false">
      <c r="A15" s="33" t="n">
        <v>27</v>
      </c>
      <c r="B15" s="62" t="n">
        <v>46351</v>
      </c>
      <c r="C15" s="33" t="s">
        <v>559</v>
      </c>
      <c r="D15" s="35" t="n">
        <v>0.375</v>
      </c>
      <c r="E15" s="35" t="n">
        <v>0.5</v>
      </c>
      <c r="F15" s="36" t="n">
        <f aca="false">ROUND((E15-D15)*24,2)</f>
        <v>3</v>
      </c>
      <c r="G15" s="39" t="s">
        <v>560</v>
      </c>
      <c r="H15" s="45" t="s">
        <v>31</v>
      </c>
    </row>
    <row r="16" customFormat="false" ht="33" hidden="false" customHeight="true" outlineLevel="0" collapsed="false">
      <c r="A16" s="33" t="n">
        <v>28</v>
      </c>
      <c r="B16" s="62" t="n">
        <v>46352</v>
      </c>
      <c r="C16" s="33" t="s">
        <v>559</v>
      </c>
      <c r="D16" s="35" t="n">
        <v>0.375</v>
      </c>
      <c r="E16" s="35" t="n">
        <v>0.5</v>
      </c>
      <c r="F16" s="36" t="n">
        <f aca="false">ROUND((E16-D16)*24,2)</f>
        <v>3</v>
      </c>
      <c r="G16" s="39" t="s">
        <v>562</v>
      </c>
      <c r="H16" s="41" t="s">
        <v>35</v>
      </c>
    </row>
    <row r="17" customFormat="false" ht="33" hidden="false" customHeight="true" outlineLevel="0" collapsed="false">
      <c r="A17" s="33" t="n">
        <v>30</v>
      </c>
      <c r="B17" s="62" t="n">
        <v>46354</v>
      </c>
      <c r="C17" s="33" t="s">
        <v>559</v>
      </c>
      <c r="D17" s="35" t="n">
        <v>0.375</v>
      </c>
      <c r="E17" s="35" t="n">
        <v>0.5</v>
      </c>
      <c r="F17" s="36" t="n">
        <f aca="false">ROUND((E17-D17)*24,2)</f>
        <v>3</v>
      </c>
      <c r="G17" s="39" t="s">
        <v>563</v>
      </c>
      <c r="H17" s="4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564</v>
      </c>
    </row>
    <row r="3" customFormat="false" ht="15" hidden="false" customHeight="false" outlineLevel="0" collapsed="false">
      <c r="A3" s="3" t="s">
        <v>555</v>
      </c>
      <c r="B3" s="3" t="n">
        <f aca="false">COUNT(A6:A13)</f>
        <v>8</v>
      </c>
      <c r="D3" s="3" t="s">
        <v>556</v>
      </c>
      <c r="E3" s="61" t="n">
        <f aca="false">SUM(F6:F13)</f>
        <v>25.75</v>
      </c>
      <c r="G3" s="2" t="s">
        <v>565</v>
      </c>
    </row>
    <row r="5" customFormat="false" ht="15" hidden="false" customHeight="false" outlineLevel="0" collapsed="false">
      <c r="A5" s="4" t="s">
        <v>120</v>
      </c>
      <c r="B5" s="4" t="s">
        <v>111</v>
      </c>
      <c r="C5" s="4" t="s">
        <v>126</v>
      </c>
      <c r="D5" s="4" t="s">
        <v>123</v>
      </c>
      <c r="E5" s="4" t="s">
        <v>124</v>
      </c>
      <c r="F5" s="4" t="s">
        <v>5</v>
      </c>
      <c r="G5" s="4" t="s">
        <v>558</v>
      </c>
      <c r="H5" s="4" t="s">
        <v>127</v>
      </c>
    </row>
    <row r="6" customFormat="false" ht="33" hidden="false" customHeight="true" outlineLevel="0" collapsed="false">
      <c r="A6" s="33" t="n">
        <v>1</v>
      </c>
      <c r="B6" s="62" t="n">
        <v>46325</v>
      </c>
      <c r="C6" s="33" t="s">
        <v>566</v>
      </c>
      <c r="D6" s="35" t="n">
        <v>0.541666666666667</v>
      </c>
      <c r="E6" s="35" t="n">
        <v>0.6875</v>
      </c>
      <c r="F6" s="36" t="n">
        <f aca="false">ROUND((E6-D6)*24,2)</f>
        <v>3.5</v>
      </c>
      <c r="G6" s="39" t="s">
        <v>567</v>
      </c>
      <c r="H6" s="41" t="s">
        <v>568</v>
      </c>
    </row>
    <row r="7" customFormat="false" ht="33" hidden="false" customHeight="true" outlineLevel="0" collapsed="false">
      <c r="A7" s="33" t="n">
        <v>4</v>
      </c>
      <c r="B7" s="62" t="n">
        <v>46328</v>
      </c>
      <c r="C7" s="33" t="s">
        <v>559</v>
      </c>
      <c r="D7" s="35" t="n">
        <v>0.354166666666667</v>
      </c>
      <c r="E7" s="35" t="n">
        <v>0.479166666666667</v>
      </c>
      <c r="F7" s="36" t="n">
        <f aca="false">ROUND((E7-D7)*24,2)</f>
        <v>3</v>
      </c>
      <c r="G7" s="39" t="s">
        <v>569</v>
      </c>
      <c r="H7" s="45" t="s">
        <v>31</v>
      </c>
    </row>
    <row r="8" customFormat="false" ht="33" hidden="false" customHeight="true" outlineLevel="0" collapsed="false">
      <c r="A8" s="33" t="n">
        <v>5</v>
      </c>
      <c r="B8" s="62" t="n">
        <v>46329</v>
      </c>
      <c r="C8" s="33" t="s">
        <v>559</v>
      </c>
      <c r="D8" s="35" t="n">
        <v>0.354166666666667</v>
      </c>
      <c r="E8" s="35" t="n">
        <v>0.479166666666667</v>
      </c>
      <c r="F8" s="36" t="n">
        <f aca="false">ROUND((E8-D8)*24,2)</f>
        <v>3</v>
      </c>
      <c r="G8" s="39" t="s">
        <v>570</v>
      </c>
      <c r="H8" s="45" t="s">
        <v>31</v>
      </c>
    </row>
    <row r="9" customFormat="false" ht="48" hidden="false" customHeight="true" outlineLevel="0" collapsed="false">
      <c r="A9" s="33" t="n">
        <v>5</v>
      </c>
      <c r="B9" s="62" t="n">
        <v>46329</v>
      </c>
      <c r="C9" s="33" t="s">
        <v>566</v>
      </c>
      <c r="D9" s="35" t="n">
        <v>0.541666666666667</v>
      </c>
      <c r="E9" s="35" t="n">
        <v>0.6875</v>
      </c>
      <c r="F9" s="36" t="n">
        <f aca="false">ROUND((E9-D9)*24,2)</f>
        <v>3.5</v>
      </c>
      <c r="G9" s="39" t="s">
        <v>571</v>
      </c>
      <c r="H9" s="45" t="s">
        <v>572</v>
      </c>
    </row>
    <row r="10" customFormat="false" ht="18" hidden="false" customHeight="true" outlineLevel="0" collapsed="false">
      <c r="A10" s="33" t="n">
        <v>12</v>
      </c>
      <c r="B10" s="62" t="n">
        <v>46336</v>
      </c>
      <c r="C10" s="33" t="s">
        <v>566</v>
      </c>
      <c r="D10" s="35" t="n">
        <v>0.541666666666667</v>
      </c>
      <c r="E10" s="35" t="n">
        <v>0.6875</v>
      </c>
      <c r="F10" s="36" t="n">
        <f aca="false">ROUND((E10-D10)*24,2)</f>
        <v>3.5</v>
      </c>
      <c r="G10" s="39" t="s">
        <v>573</v>
      </c>
      <c r="H10" s="41" t="s">
        <v>35</v>
      </c>
    </row>
    <row r="11" customFormat="false" ht="18" hidden="false" customHeight="true" outlineLevel="0" collapsed="false">
      <c r="A11" s="33" t="n">
        <v>19</v>
      </c>
      <c r="B11" s="62" t="n">
        <v>46343</v>
      </c>
      <c r="C11" s="33" t="s">
        <v>566</v>
      </c>
      <c r="D11" s="35" t="n">
        <v>0.541666666666667</v>
      </c>
      <c r="E11" s="35" t="n">
        <v>0.6875</v>
      </c>
      <c r="F11" s="36" t="n">
        <f aca="false">ROUND((E11-D11)*24,2)</f>
        <v>3.5</v>
      </c>
      <c r="G11" s="39" t="s">
        <v>574</v>
      </c>
      <c r="H11" s="41" t="s">
        <v>35</v>
      </c>
    </row>
    <row r="12" customFormat="false" ht="18" hidden="false" customHeight="true" outlineLevel="0" collapsed="false">
      <c r="A12" s="33" t="n">
        <v>26</v>
      </c>
      <c r="B12" s="62" t="n">
        <v>46350</v>
      </c>
      <c r="C12" s="33" t="s">
        <v>566</v>
      </c>
      <c r="D12" s="35" t="n">
        <v>0.541666666666667</v>
      </c>
      <c r="E12" s="35" t="n">
        <v>0.6875</v>
      </c>
      <c r="F12" s="36" t="n">
        <f aca="false">ROUND((E12-D12)*24,2)</f>
        <v>3.5</v>
      </c>
      <c r="G12" s="39" t="s">
        <v>575</v>
      </c>
      <c r="H12" s="41" t="s">
        <v>35</v>
      </c>
    </row>
    <row r="13" customFormat="false" ht="18" hidden="false" customHeight="true" outlineLevel="0" collapsed="false">
      <c r="A13" s="33" t="n">
        <v>28</v>
      </c>
      <c r="B13" s="62" t="n">
        <v>46352</v>
      </c>
      <c r="C13" s="33" t="s">
        <v>566</v>
      </c>
      <c r="D13" s="35" t="n">
        <v>0.59375</v>
      </c>
      <c r="E13" s="35" t="n">
        <v>0.6875</v>
      </c>
      <c r="F13" s="36" t="n">
        <f aca="false">ROUND((E13-D13)*24,2)</f>
        <v>2.25</v>
      </c>
      <c r="G13" s="39" t="s">
        <v>576</v>
      </c>
      <c r="H13" s="4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577</v>
      </c>
    </row>
    <row r="3" customFormat="false" ht="15" hidden="false" customHeight="false" outlineLevel="0" collapsed="false">
      <c r="A3" s="3" t="s">
        <v>555</v>
      </c>
      <c r="B3" s="3" t="n">
        <f aca="false">COUNT(A6:A19)</f>
        <v>14</v>
      </c>
      <c r="D3" s="3" t="s">
        <v>556</v>
      </c>
      <c r="E3" s="61" t="n">
        <f aca="false">SUM(F6:F19)</f>
        <v>46.5</v>
      </c>
      <c r="G3" s="2" t="s">
        <v>557</v>
      </c>
    </row>
    <row r="5" customFormat="false" ht="15" hidden="false" customHeight="false" outlineLevel="0" collapsed="false">
      <c r="A5" s="4" t="s">
        <v>120</v>
      </c>
      <c r="B5" s="4" t="s">
        <v>111</v>
      </c>
      <c r="C5" s="4" t="s">
        <v>126</v>
      </c>
      <c r="D5" s="4" t="s">
        <v>123</v>
      </c>
      <c r="E5" s="4" t="s">
        <v>124</v>
      </c>
      <c r="F5" s="4" t="s">
        <v>5</v>
      </c>
      <c r="G5" s="4" t="s">
        <v>558</v>
      </c>
      <c r="H5" s="4" t="s">
        <v>127</v>
      </c>
    </row>
    <row r="6" customFormat="false" ht="48" hidden="false" customHeight="true" outlineLevel="0" collapsed="false">
      <c r="A6" s="33" t="n">
        <v>4</v>
      </c>
      <c r="B6" s="62" t="n">
        <v>46328</v>
      </c>
      <c r="C6" s="33" t="s">
        <v>566</v>
      </c>
      <c r="D6" s="35" t="n">
        <v>0.541666666666667</v>
      </c>
      <c r="E6" s="35" t="n">
        <v>0.6875</v>
      </c>
      <c r="F6" s="36" t="n">
        <f aca="false">ROUND((E6-D6)*24,2)</f>
        <v>3.5</v>
      </c>
      <c r="G6" s="39" t="s">
        <v>578</v>
      </c>
      <c r="H6" s="45" t="s">
        <v>572</v>
      </c>
    </row>
    <row r="7" customFormat="false" ht="48" hidden="false" customHeight="true" outlineLevel="0" collapsed="false">
      <c r="A7" s="33" t="n">
        <v>8</v>
      </c>
      <c r="B7" s="62" t="n">
        <v>46332</v>
      </c>
      <c r="C7" s="33" t="s">
        <v>566</v>
      </c>
      <c r="D7" s="35" t="n">
        <v>0.541666666666667</v>
      </c>
      <c r="E7" s="35" t="n">
        <v>0.6875</v>
      </c>
      <c r="F7" s="36" t="n">
        <f aca="false">ROUND((E7-D7)*24,2)</f>
        <v>3.5</v>
      </c>
      <c r="G7" s="39" t="s">
        <v>579</v>
      </c>
      <c r="H7" s="45" t="s">
        <v>572</v>
      </c>
    </row>
    <row r="8" customFormat="false" ht="48" hidden="false" customHeight="true" outlineLevel="0" collapsed="false">
      <c r="A8" s="33" t="n">
        <v>10</v>
      </c>
      <c r="B8" s="62" t="n">
        <v>46334</v>
      </c>
      <c r="C8" s="33" t="s">
        <v>566</v>
      </c>
      <c r="D8" s="35" t="n">
        <v>0.541666666666667</v>
      </c>
      <c r="E8" s="35" t="n">
        <v>0.6875</v>
      </c>
      <c r="F8" s="36" t="n">
        <f aca="false">ROUND((E8-D8)*24,2)</f>
        <v>3.5</v>
      </c>
      <c r="G8" s="39" t="s">
        <v>579</v>
      </c>
      <c r="H8" s="45" t="s">
        <v>572</v>
      </c>
    </row>
    <row r="9" customFormat="false" ht="48" hidden="false" customHeight="true" outlineLevel="0" collapsed="false">
      <c r="A9" s="33" t="n">
        <v>11</v>
      </c>
      <c r="B9" s="62" t="n">
        <v>46335</v>
      </c>
      <c r="C9" s="33" t="s">
        <v>566</v>
      </c>
      <c r="D9" s="35" t="n">
        <v>0.541666666666667</v>
      </c>
      <c r="E9" s="35" t="n">
        <v>0.6875</v>
      </c>
      <c r="F9" s="36" t="n">
        <f aca="false">ROUND((E9-D9)*24,2)</f>
        <v>3.5</v>
      </c>
      <c r="G9" s="39" t="s">
        <v>579</v>
      </c>
      <c r="H9" s="45" t="s">
        <v>572</v>
      </c>
    </row>
    <row r="10" customFormat="false" ht="48" hidden="false" customHeight="true" outlineLevel="0" collapsed="false">
      <c r="A10" s="33" t="n">
        <v>12</v>
      </c>
      <c r="B10" s="62" t="n">
        <v>46336</v>
      </c>
      <c r="C10" s="33" t="s">
        <v>566</v>
      </c>
      <c r="D10" s="35" t="n">
        <v>0.541666666666667</v>
      </c>
      <c r="E10" s="35" t="n">
        <v>0.6875</v>
      </c>
      <c r="F10" s="36" t="n">
        <f aca="false">ROUND((E10-D10)*24,2)</f>
        <v>3.5</v>
      </c>
      <c r="G10" s="39" t="s">
        <v>579</v>
      </c>
      <c r="H10" s="45" t="s">
        <v>572</v>
      </c>
    </row>
    <row r="11" customFormat="false" ht="33" hidden="false" customHeight="true" outlineLevel="0" collapsed="false">
      <c r="A11" s="33" t="n">
        <v>14</v>
      </c>
      <c r="B11" s="62" t="n">
        <v>46338</v>
      </c>
      <c r="C11" s="33" t="s">
        <v>566</v>
      </c>
      <c r="D11" s="35" t="n">
        <v>0.541666666666667</v>
      </c>
      <c r="E11" s="35" t="n">
        <v>0.6875</v>
      </c>
      <c r="F11" s="36" t="n">
        <f aca="false">ROUND((E11-D11)*24,2)</f>
        <v>3.5</v>
      </c>
      <c r="G11" s="39" t="s">
        <v>580</v>
      </c>
      <c r="H11" s="41" t="s">
        <v>35</v>
      </c>
    </row>
    <row r="12" customFormat="false" ht="48" hidden="false" customHeight="true" outlineLevel="0" collapsed="false">
      <c r="A12" s="33" t="n">
        <v>17</v>
      </c>
      <c r="B12" s="62" t="n">
        <v>46341</v>
      </c>
      <c r="C12" s="33" t="s">
        <v>566</v>
      </c>
      <c r="D12" s="35" t="n">
        <v>0.541666666666667</v>
      </c>
      <c r="E12" s="35" t="n">
        <v>0.6875</v>
      </c>
      <c r="F12" s="36" t="n">
        <f aca="false">ROUND((E12-D12)*24,2)</f>
        <v>3.5</v>
      </c>
      <c r="G12" s="39" t="s">
        <v>579</v>
      </c>
      <c r="H12" s="45" t="s">
        <v>572</v>
      </c>
    </row>
    <row r="13" customFormat="false" ht="48" hidden="false" customHeight="true" outlineLevel="0" collapsed="false">
      <c r="A13" s="33" t="n">
        <v>18</v>
      </c>
      <c r="B13" s="62" t="n">
        <v>46342</v>
      </c>
      <c r="C13" s="33" t="s">
        <v>566</v>
      </c>
      <c r="D13" s="35" t="n">
        <v>0.541666666666667</v>
      </c>
      <c r="E13" s="35" t="n">
        <v>0.6875</v>
      </c>
      <c r="F13" s="36" t="n">
        <f aca="false">ROUND((E13-D13)*24,2)</f>
        <v>3.5</v>
      </c>
      <c r="G13" s="39" t="s">
        <v>581</v>
      </c>
      <c r="H13" s="45" t="s">
        <v>572</v>
      </c>
    </row>
    <row r="14" customFormat="false" ht="48" hidden="false" customHeight="true" outlineLevel="0" collapsed="false">
      <c r="A14" s="33" t="n">
        <v>19</v>
      </c>
      <c r="B14" s="62" t="n">
        <v>46343</v>
      </c>
      <c r="C14" s="33" t="s">
        <v>566</v>
      </c>
      <c r="D14" s="35" t="n">
        <v>0.541666666666667</v>
      </c>
      <c r="E14" s="35" t="n">
        <v>0.6875</v>
      </c>
      <c r="F14" s="36" t="n">
        <f aca="false">ROUND((E14-D14)*24,2)</f>
        <v>3.5</v>
      </c>
      <c r="G14" s="39" t="s">
        <v>579</v>
      </c>
      <c r="H14" s="45" t="s">
        <v>572</v>
      </c>
    </row>
    <row r="15" customFormat="false" ht="48" hidden="false" customHeight="true" outlineLevel="0" collapsed="false">
      <c r="A15" s="33" t="n">
        <v>22</v>
      </c>
      <c r="B15" s="62" t="n">
        <v>46346</v>
      </c>
      <c r="C15" s="33" t="s">
        <v>566</v>
      </c>
      <c r="D15" s="35" t="n">
        <v>0.541666666666667</v>
      </c>
      <c r="E15" s="35" t="n">
        <v>0.6875</v>
      </c>
      <c r="F15" s="36" t="n">
        <f aca="false">ROUND((E15-D15)*24,2)</f>
        <v>3.5</v>
      </c>
      <c r="G15" s="39" t="s">
        <v>579</v>
      </c>
      <c r="H15" s="45" t="s">
        <v>572</v>
      </c>
    </row>
    <row r="16" customFormat="false" ht="48" hidden="false" customHeight="true" outlineLevel="0" collapsed="false">
      <c r="A16" s="33" t="n">
        <v>24</v>
      </c>
      <c r="B16" s="62" t="n">
        <v>46348</v>
      </c>
      <c r="C16" s="33" t="s">
        <v>566</v>
      </c>
      <c r="D16" s="35" t="n">
        <v>0.541666666666667</v>
      </c>
      <c r="E16" s="35" t="n">
        <v>0.6875</v>
      </c>
      <c r="F16" s="36" t="n">
        <f aca="false">ROUND((E16-D16)*24,2)</f>
        <v>3.5</v>
      </c>
      <c r="G16" s="39" t="s">
        <v>579</v>
      </c>
      <c r="H16" s="45" t="s">
        <v>572</v>
      </c>
    </row>
    <row r="17" customFormat="false" ht="48" hidden="false" customHeight="true" outlineLevel="0" collapsed="false">
      <c r="A17" s="33" t="n">
        <v>25</v>
      </c>
      <c r="B17" s="62" t="n">
        <v>46349</v>
      </c>
      <c r="C17" s="33" t="s">
        <v>566</v>
      </c>
      <c r="D17" s="35" t="n">
        <v>0.541666666666667</v>
      </c>
      <c r="E17" s="35" t="n">
        <v>0.6875</v>
      </c>
      <c r="F17" s="36" t="n">
        <f aca="false">ROUND((E17-D17)*24,2)</f>
        <v>3.5</v>
      </c>
      <c r="G17" s="39" t="s">
        <v>579</v>
      </c>
      <c r="H17" s="45" t="s">
        <v>572</v>
      </c>
    </row>
    <row r="18" customFormat="false" ht="48" hidden="false" customHeight="true" outlineLevel="0" collapsed="false">
      <c r="A18" s="33" t="n">
        <v>26</v>
      </c>
      <c r="B18" s="62" t="n">
        <v>46350</v>
      </c>
      <c r="C18" s="33" t="s">
        <v>566</v>
      </c>
      <c r="D18" s="35" t="n">
        <v>0.541666666666667</v>
      </c>
      <c r="E18" s="35" t="n">
        <v>0.6875</v>
      </c>
      <c r="F18" s="36" t="n">
        <f aca="false">ROUND((E18-D18)*24,2)</f>
        <v>3.5</v>
      </c>
      <c r="G18" s="39" t="s">
        <v>581</v>
      </c>
      <c r="H18" s="45" t="s">
        <v>572</v>
      </c>
    </row>
    <row r="19" customFormat="false" ht="18" hidden="false" customHeight="true" outlineLevel="0" collapsed="false">
      <c r="A19" s="33" t="n">
        <v>28</v>
      </c>
      <c r="B19" s="62" t="n">
        <v>46352</v>
      </c>
      <c r="C19" s="33" t="s">
        <v>566</v>
      </c>
      <c r="D19" s="35" t="n">
        <v>0.541666666666667</v>
      </c>
      <c r="E19" s="35" t="n">
        <v>0.583333333333333</v>
      </c>
      <c r="F19" s="36" t="n">
        <f aca="false">ROUND((E19-D19)*24,2)</f>
        <v>1</v>
      </c>
      <c r="G19" s="39" t="s">
        <v>582</v>
      </c>
      <c r="H19" s="4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583</v>
      </c>
    </row>
    <row r="3" customFormat="false" ht="15" hidden="false" customHeight="false" outlineLevel="0" collapsed="false">
      <c r="A3" s="3" t="s">
        <v>555</v>
      </c>
      <c r="B3" s="3" t="n">
        <f aca="false">COUNT(A6:A6)</f>
        <v>0</v>
      </c>
      <c r="D3" s="3" t="s">
        <v>556</v>
      </c>
      <c r="E3" s="61" t="n">
        <f aca="false">SUM(F6:F6)</f>
        <v>0</v>
      </c>
      <c r="G3" s="2" t="s">
        <v>557</v>
      </c>
    </row>
    <row r="5" customFormat="false" ht="15" hidden="false" customHeight="false" outlineLevel="0" collapsed="false">
      <c r="A5" s="4" t="s">
        <v>120</v>
      </c>
      <c r="B5" s="4" t="s">
        <v>111</v>
      </c>
      <c r="C5" s="4" t="s">
        <v>126</v>
      </c>
      <c r="D5" s="4" t="s">
        <v>123</v>
      </c>
      <c r="E5" s="4" t="s">
        <v>124</v>
      </c>
      <c r="F5" s="4" t="s">
        <v>5</v>
      </c>
      <c r="G5" s="4" t="s">
        <v>558</v>
      </c>
      <c r="H5" s="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584</v>
      </c>
    </row>
    <row r="3" customFormat="false" ht="15" hidden="false" customHeight="false" outlineLevel="0" collapsed="false">
      <c r="A3" s="3" t="s">
        <v>555</v>
      </c>
      <c r="B3" s="3" t="n">
        <f aca="false">COUNT(A6:A20)</f>
        <v>15</v>
      </c>
      <c r="D3" s="3" t="s">
        <v>556</v>
      </c>
      <c r="E3" s="61" t="n">
        <f aca="false">SUM(F6:F20)</f>
        <v>45</v>
      </c>
      <c r="G3" s="2" t="s">
        <v>557</v>
      </c>
    </row>
    <row r="5" customFormat="false" ht="15" hidden="false" customHeight="false" outlineLevel="0" collapsed="false">
      <c r="A5" s="4" t="s">
        <v>120</v>
      </c>
      <c r="B5" s="4" t="s">
        <v>111</v>
      </c>
      <c r="C5" s="4" t="s">
        <v>126</v>
      </c>
      <c r="D5" s="4" t="s">
        <v>123</v>
      </c>
      <c r="E5" s="4" t="s">
        <v>124</v>
      </c>
      <c r="F5" s="4" t="s">
        <v>5</v>
      </c>
      <c r="G5" s="4" t="s">
        <v>558</v>
      </c>
      <c r="H5" s="4" t="s">
        <v>127</v>
      </c>
    </row>
    <row r="6" customFormat="false" ht="33" hidden="false" customHeight="true" outlineLevel="0" collapsed="false">
      <c r="A6" s="33" t="n">
        <v>2</v>
      </c>
      <c r="B6" s="62" t="n">
        <v>46326</v>
      </c>
      <c r="C6" s="33" t="s">
        <v>559</v>
      </c>
      <c r="D6" s="35" t="n">
        <v>0.354166666666667</v>
      </c>
      <c r="E6" s="35" t="n">
        <v>0.479166666666667</v>
      </c>
      <c r="F6" s="36" t="n">
        <f aca="false">ROUND((E6-D6)*24,2)</f>
        <v>3</v>
      </c>
      <c r="G6" s="39" t="s">
        <v>585</v>
      </c>
      <c r="H6" s="47" t="s">
        <v>32</v>
      </c>
    </row>
    <row r="7" customFormat="false" ht="33" hidden="false" customHeight="true" outlineLevel="0" collapsed="false">
      <c r="A7" s="33" t="n">
        <v>3</v>
      </c>
      <c r="B7" s="62" t="n">
        <v>46327</v>
      </c>
      <c r="C7" s="33" t="s">
        <v>559</v>
      </c>
      <c r="D7" s="35" t="n">
        <v>0.354166666666667</v>
      </c>
      <c r="E7" s="35" t="n">
        <v>0.479166666666667</v>
      </c>
      <c r="F7" s="36" t="n">
        <f aca="false">ROUND((E7-D7)*24,2)</f>
        <v>3</v>
      </c>
      <c r="G7" s="39" t="s">
        <v>586</v>
      </c>
      <c r="H7" s="47" t="s">
        <v>32</v>
      </c>
    </row>
    <row r="8" customFormat="false" ht="33" hidden="false" customHeight="true" outlineLevel="0" collapsed="false">
      <c r="A8" s="33" t="n">
        <v>8</v>
      </c>
      <c r="B8" s="62" t="n">
        <v>46332</v>
      </c>
      <c r="C8" s="33" t="s">
        <v>559</v>
      </c>
      <c r="D8" s="35" t="n">
        <v>0.354166666666667</v>
      </c>
      <c r="E8" s="35" t="n">
        <v>0.479166666666667</v>
      </c>
      <c r="F8" s="36" t="n">
        <f aca="false">ROUND((E8-D8)*24,2)</f>
        <v>3</v>
      </c>
      <c r="G8" s="39" t="s">
        <v>587</v>
      </c>
      <c r="H8" s="47" t="s">
        <v>32</v>
      </c>
    </row>
    <row r="9" customFormat="false" ht="33" hidden="false" customHeight="true" outlineLevel="0" collapsed="false">
      <c r="A9" s="33" t="n">
        <v>10</v>
      </c>
      <c r="B9" s="62" t="n">
        <v>46334</v>
      </c>
      <c r="C9" s="33" t="s">
        <v>559</v>
      </c>
      <c r="D9" s="35" t="n">
        <v>0.354166666666667</v>
      </c>
      <c r="E9" s="35" t="n">
        <v>0.479166666666667</v>
      </c>
      <c r="F9" s="36" t="n">
        <f aca="false">ROUND((E9-D9)*24,2)</f>
        <v>3</v>
      </c>
      <c r="G9" s="39" t="s">
        <v>588</v>
      </c>
      <c r="H9" s="47" t="s">
        <v>32</v>
      </c>
    </row>
    <row r="10" customFormat="false" ht="33" hidden="false" customHeight="true" outlineLevel="0" collapsed="false">
      <c r="A10" s="33" t="n">
        <v>11</v>
      </c>
      <c r="B10" s="62" t="n">
        <v>46335</v>
      </c>
      <c r="C10" s="33" t="s">
        <v>559</v>
      </c>
      <c r="D10" s="35" t="n">
        <v>0.354166666666667</v>
      </c>
      <c r="E10" s="35" t="n">
        <v>0.479166666666667</v>
      </c>
      <c r="F10" s="36" t="n">
        <f aca="false">ROUND((E10-D10)*24,2)</f>
        <v>3</v>
      </c>
      <c r="G10" s="39" t="s">
        <v>589</v>
      </c>
      <c r="H10" s="47" t="s">
        <v>32</v>
      </c>
    </row>
    <row r="11" customFormat="false" ht="33" hidden="false" customHeight="true" outlineLevel="0" collapsed="false">
      <c r="A11" s="33" t="n">
        <v>12</v>
      </c>
      <c r="B11" s="62" t="n">
        <v>46336</v>
      </c>
      <c r="C11" s="33" t="s">
        <v>559</v>
      </c>
      <c r="D11" s="35" t="n">
        <v>0.354166666666667</v>
      </c>
      <c r="E11" s="35" t="n">
        <v>0.479166666666667</v>
      </c>
      <c r="F11" s="36" t="n">
        <f aca="false">ROUND((E11-D11)*24,2)</f>
        <v>3</v>
      </c>
      <c r="G11" s="39" t="s">
        <v>590</v>
      </c>
      <c r="H11" s="47" t="s">
        <v>32</v>
      </c>
    </row>
    <row r="12" customFormat="false" ht="33" hidden="false" customHeight="true" outlineLevel="0" collapsed="false">
      <c r="A12" s="33" t="n">
        <v>15</v>
      </c>
      <c r="B12" s="62" t="n">
        <v>46339</v>
      </c>
      <c r="C12" s="33" t="s">
        <v>559</v>
      </c>
      <c r="D12" s="35" t="n">
        <v>0.354166666666667</v>
      </c>
      <c r="E12" s="35" t="n">
        <v>0.479166666666667</v>
      </c>
      <c r="F12" s="36" t="n">
        <f aca="false">ROUND((E12-D12)*24,2)</f>
        <v>3</v>
      </c>
      <c r="G12" s="39" t="s">
        <v>591</v>
      </c>
      <c r="H12" s="47" t="s">
        <v>32</v>
      </c>
    </row>
    <row r="13" customFormat="false" ht="33" hidden="false" customHeight="true" outlineLevel="0" collapsed="false">
      <c r="A13" s="33" t="n">
        <v>17</v>
      </c>
      <c r="B13" s="62" t="n">
        <v>46341</v>
      </c>
      <c r="C13" s="33" t="s">
        <v>559</v>
      </c>
      <c r="D13" s="35" t="n">
        <v>0.354166666666667</v>
      </c>
      <c r="E13" s="35" t="n">
        <v>0.479166666666667</v>
      </c>
      <c r="F13" s="36" t="n">
        <f aca="false">ROUND((E13-D13)*24,2)</f>
        <v>3</v>
      </c>
      <c r="G13" s="39" t="s">
        <v>592</v>
      </c>
      <c r="H13" s="47" t="s">
        <v>32</v>
      </c>
    </row>
    <row r="14" customFormat="false" ht="33" hidden="false" customHeight="true" outlineLevel="0" collapsed="false">
      <c r="A14" s="33" t="n">
        <v>18</v>
      </c>
      <c r="B14" s="62" t="n">
        <v>46342</v>
      </c>
      <c r="C14" s="33" t="s">
        <v>559</v>
      </c>
      <c r="D14" s="35" t="n">
        <v>0.354166666666667</v>
      </c>
      <c r="E14" s="35" t="n">
        <v>0.479166666666667</v>
      </c>
      <c r="F14" s="36" t="n">
        <f aca="false">ROUND((E14-D14)*24,2)</f>
        <v>3</v>
      </c>
      <c r="G14" s="39" t="s">
        <v>593</v>
      </c>
      <c r="H14" s="47" t="s">
        <v>32</v>
      </c>
    </row>
    <row r="15" customFormat="false" ht="33" hidden="false" customHeight="true" outlineLevel="0" collapsed="false">
      <c r="A15" s="33" t="n">
        <v>19</v>
      </c>
      <c r="B15" s="62" t="n">
        <v>46343</v>
      </c>
      <c r="C15" s="33" t="s">
        <v>559</v>
      </c>
      <c r="D15" s="35" t="n">
        <v>0.354166666666667</v>
      </c>
      <c r="E15" s="35" t="n">
        <v>0.479166666666667</v>
      </c>
      <c r="F15" s="36" t="n">
        <f aca="false">ROUND((E15-D15)*24,2)</f>
        <v>3</v>
      </c>
      <c r="G15" s="39" t="s">
        <v>594</v>
      </c>
      <c r="H15" s="47" t="s">
        <v>32</v>
      </c>
    </row>
    <row r="16" customFormat="false" ht="33" hidden="false" customHeight="true" outlineLevel="0" collapsed="false">
      <c r="A16" s="33" t="n">
        <v>22</v>
      </c>
      <c r="B16" s="62" t="n">
        <v>46346</v>
      </c>
      <c r="C16" s="33" t="s">
        <v>559</v>
      </c>
      <c r="D16" s="35" t="n">
        <v>0.354166666666667</v>
      </c>
      <c r="E16" s="35" t="n">
        <v>0.479166666666667</v>
      </c>
      <c r="F16" s="36" t="n">
        <f aca="false">ROUND((E16-D16)*24,2)</f>
        <v>3</v>
      </c>
      <c r="G16" s="39" t="s">
        <v>595</v>
      </c>
      <c r="H16" s="47" t="s">
        <v>32</v>
      </c>
    </row>
    <row r="17" customFormat="false" ht="33" hidden="false" customHeight="true" outlineLevel="0" collapsed="false">
      <c r="A17" s="33" t="n">
        <v>24</v>
      </c>
      <c r="B17" s="62" t="n">
        <v>46348</v>
      </c>
      <c r="C17" s="33" t="s">
        <v>559</v>
      </c>
      <c r="D17" s="35" t="n">
        <v>0.354166666666667</v>
      </c>
      <c r="E17" s="35" t="n">
        <v>0.479166666666667</v>
      </c>
      <c r="F17" s="36" t="n">
        <f aca="false">ROUND((E17-D17)*24,2)</f>
        <v>3</v>
      </c>
      <c r="G17" s="39" t="s">
        <v>596</v>
      </c>
      <c r="H17" s="47" t="s">
        <v>32</v>
      </c>
    </row>
    <row r="18" customFormat="false" ht="33" hidden="false" customHeight="true" outlineLevel="0" collapsed="false">
      <c r="A18" s="33" t="n">
        <v>25</v>
      </c>
      <c r="B18" s="62" t="n">
        <v>46349</v>
      </c>
      <c r="C18" s="33" t="s">
        <v>559</v>
      </c>
      <c r="D18" s="35" t="n">
        <v>0.354166666666667</v>
      </c>
      <c r="E18" s="35" t="n">
        <v>0.479166666666667</v>
      </c>
      <c r="F18" s="36" t="n">
        <f aca="false">ROUND((E18-D18)*24,2)</f>
        <v>3</v>
      </c>
      <c r="G18" s="39" t="s">
        <v>597</v>
      </c>
      <c r="H18" s="47" t="s">
        <v>32</v>
      </c>
    </row>
    <row r="19" customFormat="false" ht="33" hidden="false" customHeight="true" outlineLevel="0" collapsed="false">
      <c r="A19" s="33" t="n">
        <v>26</v>
      </c>
      <c r="B19" s="62" t="n">
        <v>46350</v>
      </c>
      <c r="C19" s="33" t="s">
        <v>559</v>
      </c>
      <c r="D19" s="35" t="n">
        <v>0.354166666666667</v>
      </c>
      <c r="E19" s="35" t="n">
        <v>0.479166666666667</v>
      </c>
      <c r="F19" s="36" t="n">
        <f aca="false">ROUND((E19-D19)*24,2)</f>
        <v>3</v>
      </c>
      <c r="G19" s="39" t="s">
        <v>598</v>
      </c>
      <c r="H19" s="47" t="s">
        <v>32</v>
      </c>
    </row>
    <row r="20" customFormat="false" ht="33" hidden="false" customHeight="true" outlineLevel="0" collapsed="false">
      <c r="A20" s="33" t="n">
        <v>29</v>
      </c>
      <c r="B20" s="62" t="n">
        <v>46353</v>
      </c>
      <c r="C20" s="33" t="s">
        <v>559</v>
      </c>
      <c r="D20" s="35" t="n">
        <v>0.354166666666667</v>
      </c>
      <c r="E20" s="35" t="n">
        <v>0.479166666666667</v>
      </c>
      <c r="F20" s="36" t="n">
        <f aca="false">ROUND((E20-D20)*24,2)</f>
        <v>3</v>
      </c>
      <c r="G20" s="39" t="s">
        <v>599</v>
      </c>
      <c r="H20" s="4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600</v>
      </c>
    </row>
    <row r="3" customFormat="false" ht="15" hidden="false" customHeight="false" outlineLevel="0" collapsed="false">
      <c r="A3" s="3" t="s">
        <v>555</v>
      </c>
      <c r="B3" s="3" t="n">
        <f aca="false">COUNT(A6:A19)</f>
        <v>14</v>
      </c>
      <c r="D3" s="3" t="s">
        <v>556</v>
      </c>
      <c r="E3" s="61" t="n">
        <f aca="false">SUM(F6:F19)</f>
        <v>49</v>
      </c>
      <c r="G3" s="2" t="s">
        <v>557</v>
      </c>
    </row>
    <row r="5" customFormat="false" ht="15" hidden="false" customHeight="false" outlineLevel="0" collapsed="false">
      <c r="A5" s="4" t="s">
        <v>120</v>
      </c>
      <c r="B5" s="4" t="s">
        <v>111</v>
      </c>
      <c r="C5" s="4" t="s">
        <v>126</v>
      </c>
      <c r="D5" s="4" t="s">
        <v>123</v>
      </c>
      <c r="E5" s="4" t="s">
        <v>124</v>
      </c>
      <c r="F5" s="4" t="s">
        <v>5</v>
      </c>
      <c r="G5" s="4" t="s">
        <v>558</v>
      </c>
      <c r="H5" s="4" t="s">
        <v>127</v>
      </c>
    </row>
    <row r="6" customFormat="false" ht="48" hidden="false" customHeight="true" outlineLevel="0" collapsed="false">
      <c r="A6" s="33" t="n">
        <v>2</v>
      </c>
      <c r="B6" s="62" t="n">
        <v>46326</v>
      </c>
      <c r="C6" s="33" t="s">
        <v>566</v>
      </c>
      <c r="D6" s="35" t="n">
        <v>0.541666666666667</v>
      </c>
      <c r="E6" s="35" t="n">
        <v>0.6875</v>
      </c>
      <c r="F6" s="36" t="n">
        <f aca="false">ROUND((E6-D6)*24,2)</f>
        <v>3.5</v>
      </c>
      <c r="G6" s="39" t="s">
        <v>601</v>
      </c>
      <c r="H6" s="47" t="s">
        <v>602</v>
      </c>
    </row>
    <row r="7" customFormat="false" ht="48" hidden="false" customHeight="true" outlineLevel="0" collapsed="false">
      <c r="A7" s="33" t="n">
        <v>3</v>
      </c>
      <c r="B7" s="62" t="n">
        <v>46327</v>
      </c>
      <c r="C7" s="33" t="s">
        <v>566</v>
      </c>
      <c r="D7" s="35" t="n">
        <v>0.541666666666667</v>
      </c>
      <c r="E7" s="35" t="n">
        <v>0.6875</v>
      </c>
      <c r="F7" s="36" t="n">
        <f aca="false">ROUND((E7-D7)*24,2)</f>
        <v>3.5</v>
      </c>
      <c r="G7" s="39" t="s">
        <v>603</v>
      </c>
      <c r="H7" s="47" t="s">
        <v>602</v>
      </c>
    </row>
    <row r="8" customFormat="false" ht="48" hidden="false" customHeight="true" outlineLevel="0" collapsed="false">
      <c r="A8" s="33" t="n">
        <v>6</v>
      </c>
      <c r="B8" s="62" t="n">
        <v>46330</v>
      </c>
      <c r="C8" s="33" t="s">
        <v>566</v>
      </c>
      <c r="D8" s="35" t="n">
        <v>0.541666666666667</v>
      </c>
      <c r="E8" s="35" t="n">
        <v>0.6875</v>
      </c>
      <c r="F8" s="36" t="n">
        <f aca="false">ROUND((E8-D8)*24,2)</f>
        <v>3.5</v>
      </c>
      <c r="G8" s="39" t="s">
        <v>604</v>
      </c>
      <c r="H8" s="47" t="s">
        <v>602</v>
      </c>
    </row>
    <row r="9" customFormat="false" ht="48" hidden="false" customHeight="true" outlineLevel="0" collapsed="false">
      <c r="A9" s="33" t="n">
        <v>7</v>
      </c>
      <c r="B9" s="62" t="n">
        <v>46331</v>
      </c>
      <c r="C9" s="33" t="s">
        <v>566</v>
      </c>
      <c r="D9" s="35" t="n">
        <v>0.541666666666667</v>
      </c>
      <c r="E9" s="35" t="n">
        <v>0.6875</v>
      </c>
      <c r="F9" s="36" t="n">
        <f aca="false">ROUND((E9-D9)*24,2)</f>
        <v>3.5</v>
      </c>
      <c r="G9" s="39" t="s">
        <v>605</v>
      </c>
      <c r="H9" s="47" t="s">
        <v>602</v>
      </c>
    </row>
    <row r="10" customFormat="false" ht="48" hidden="false" customHeight="true" outlineLevel="0" collapsed="false">
      <c r="A10" s="33" t="n">
        <v>9</v>
      </c>
      <c r="B10" s="62" t="n">
        <v>46333</v>
      </c>
      <c r="C10" s="33" t="s">
        <v>566</v>
      </c>
      <c r="D10" s="35" t="n">
        <v>0.541666666666667</v>
      </c>
      <c r="E10" s="35" t="n">
        <v>0.6875</v>
      </c>
      <c r="F10" s="36" t="n">
        <f aca="false">ROUND((E10-D10)*24,2)</f>
        <v>3.5</v>
      </c>
      <c r="G10" s="39" t="s">
        <v>606</v>
      </c>
      <c r="H10" s="47" t="s">
        <v>602</v>
      </c>
    </row>
    <row r="11" customFormat="false" ht="48" hidden="false" customHeight="true" outlineLevel="0" collapsed="false">
      <c r="A11" s="33" t="n">
        <v>13</v>
      </c>
      <c r="B11" s="62" t="n">
        <v>46337</v>
      </c>
      <c r="C11" s="33" t="s">
        <v>566</v>
      </c>
      <c r="D11" s="35" t="n">
        <v>0.541666666666667</v>
      </c>
      <c r="E11" s="35" t="n">
        <v>0.6875</v>
      </c>
      <c r="F11" s="36" t="n">
        <f aca="false">ROUND((E11-D11)*24,2)</f>
        <v>3.5</v>
      </c>
      <c r="G11" s="39" t="s">
        <v>607</v>
      </c>
      <c r="H11" s="47" t="s">
        <v>602</v>
      </c>
    </row>
    <row r="12" customFormat="false" ht="48" hidden="false" customHeight="true" outlineLevel="0" collapsed="false">
      <c r="A12" s="33" t="n">
        <v>15</v>
      </c>
      <c r="B12" s="62" t="n">
        <v>46339</v>
      </c>
      <c r="C12" s="33" t="s">
        <v>566</v>
      </c>
      <c r="D12" s="35" t="n">
        <v>0.541666666666667</v>
      </c>
      <c r="E12" s="35" t="n">
        <v>0.6875</v>
      </c>
      <c r="F12" s="36" t="n">
        <f aca="false">ROUND((E12-D12)*24,2)</f>
        <v>3.5</v>
      </c>
      <c r="G12" s="39" t="s">
        <v>608</v>
      </c>
      <c r="H12" s="41" t="s">
        <v>609</v>
      </c>
    </row>
    <row r="13" customFormat="false" ht="48" hidden="false" customHeight="true" outlineLevel="0" collapsed="false">
      <c r="A13" s="33" t="n">
        <v>16</v>
      </c>
      <c r="B13" s="62" t="n">
        <v>46340</v>
      </c>
      <c r="C13" s="33" t="s">
        <v>566</v>
      </c>
      <c r="D13" s="35" t="n">
        <v>0.541666666666667</v>
      </c>
      <c r="E13" s="35" t="n">
        <v>0.6875</v>
      </c>
      <c r="F13" s="36" t="n">
        <f aca="false">ROUND((E13-D13)*24,2)</f>
        <v>3.5</v>
      </c>
      <c r="G13" s="39" t="s">
        <v>610</v>
      </c>
      <c r="H13" s="47" t="s">
        <v>602</v>
      </c>
    </row>
    <row r="14" customFormat="false" ht="48" hidden="false" customHeight="true" outlineLevel="0" collapsed="false">
      <c r="A14" s="33" t="n">
        <v>20</v>
      </c>
      <c r="B14" s="62" t="n">
        <v>46344</v>
      </c>
      <c r="C14" s="33" t="s">
        <v>566</v>
      </c>
      <c r="D14" s="35" t="n">
        <v>0.541666666666667</v>
      </c>
      <c r="E14" s="35" t="n">
        <v>0.6875</v>
      </c>
      <c r="F14" s="36" t="n">
        <f aca="false">ROUND((E14-D14)*24,2)</f>
        <v>3.5</v>
      </c>
      <c r="G14" s="39" t="s">
        <v>611</v>
      </c>
      <c r="H14" s="47" t="s">
        <v>602</v>
      </c>
    </row>
    <row r="15" customFormat="false" ht="48" hidden="false" customHeight="true" outlineLevel="0" collapsed="false">
      <c r="A15" s="33" t="n">
        <v>21</v>
      </c>
      <c r="B15" s="62" t="n">
        <v>46345</v>
      </c>
      <c r="C15" s="33" t="s">
        <v>566</v>
      </c>
      <c r="D15" s="35" t="n">
        <v>0.541666666666667</v>
      </c>
      <c r="E15" s="35" t="n">
        <v>0.6875</v>
      </c>
      <c r="F15" s="36" t="n">
        <f aca="false">ROUND((E15-D15)*24,2)</f>
        <v>3.5</v>
      </c>
      <c r="G15" s="39" t="s">
        <v>612</v>
      </c>
      <c r="H15" s="47" t="s">
        <v>602</v>
      </c>
    </row>
    <row r="16" customFormat="false" ht="48" hidden="false" customHeight="true" outlineLevel="0" collapsed="false">
      <c r="A16" s="33" t="n">
        <v>23</v>
      </c>
      <c r="B16" s="62" t="n">
        <v>46347</v>
      </c>
      <c r="C16" s="33" t="s">
        <v>566</v>
      </c>
      <c r="D16" s="35" t="n">
        <v>0.541666666666667</v>
      </c>
      <c r="E16" s="35" t="n">
        <v>0.6875</v>
      </c>
      <c r="F16" s="36" t="n">
        <f aca="false">ROUND((E16-D16)*24,2)</f>
        <v>3.5</v>
      </c>
      <c r="G16" s="39" t="s">
        <v>613</v>
      </c>
      <c r="H16" s="47" t="s">
        <v>602</v>
      </c>
    </row>
    <row r="17" customFormat="false" ht="48" hidden="false" customHeight="true" outlineLevel="0" collapsed="false">
      <c r="A17" s="33" t="n">
        <v>27</v>
      </c>
      <c r="B17" s="62" t="n">
        <v>46351</v>
      </c>
      <c r="C17" s="33" t="s">
        <v>566</v>
      </c>
      <c r="D17" s="35" t="n">
        <v>0.541666666666667</v>
      </c>
      <c r="E17" s="35" t="n">
        <v>0.6875</v>
      </c>
      <c r="F17" s="36" t="n">
        <f aca="false">ROUND((E17-D17)*24,2)</f>
        <v>3.5</v>
      </c>
      <c r="G17" s="39" t="s">
        <v>614</v>
      </c>
      <c r="H17" s="47" t="s">
        <v>602</v>
      </c>
    </row>
    <row r="18" customFormat="false" ht="48" hidden="false" customHeight="true" outlineLevel="0" collapsed="false">
      <c r="A18" s="33" t="n">
        <v>29</v>
      </c>
      <c r="B18" s="62" t="n">
        <v>46353</v>
      </c>
      <c r="C18" s="33" t="s">
        <v>566</v>
      </c>
      <c r="D18" s="35" t="n">
        <v>0.541666666666667</v>
      </c>
      <c r="E18" s="35" t="n">
        <v>0.6875</v>
      </c>
      <c r="F18" s="36" t="n">
        <f aca="false">ROUND((E18-D18)*24,2)</f>
        <v>3.5</v>
      </c>
      <c r="G18" s="39" t="s">
        <v>615</v>
      </c>
      <c r="H18" s="41" t="s">
        <v>609</v>
      </c>
    </row>
    <row r="19" customFormat="false" ht="48" hidden="false" customHeight="true" outlineLevel="0" collapsed="false">
      <c r="A19" s="33" t="n">
        <v>30</v>
      </c>
      <c r="B19" s="62" t="n">
        <v>46354</v>
      </c>
      <c r="C19" s="33" t="s">
        <v>566</v>
      </c>
      <c r="D19" s="35" t="n">
        <v>0.541666666666667</v>
      </c>
      <c r="E19" s="35" t="n">
        <v>0.6875</v>
      </c>
      <c r="F19" s="36" t="n">
        <f aca="false">ROUND((E19-D19)*24,2)</f>
        <v>3.5</v>
      </c>
      <c r="G19" s="39" t="s">
        <v>616</v>
      </c>
      <c r="H19" s="47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2026-10-28T19:50:29Z</dcterms:created>
  <dc:creator>openpyxl</dc:creator>
  <dc:description/>
  <dc:language>en-US</dc:language>
  <cp:lastModifiedBy/>
  <dcterms:modified xsi:type="dcterms:W3CDTF">2026-10-28T19:50:29Z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